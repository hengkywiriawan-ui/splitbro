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wiriawan\Documents\"/>
    </mc:Choice>
  </mc:AlternateContent>
  <xr:revisionPtr revIDLastSave="0" documentId="13_ncr:1_{95D8C228-593E-41AB-9103-8ED9F488A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-23Jan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G21" i="1"/>
  <c r="F21" i="1"/>
  <c r="I21" i="1"/>
  <c r="H16" i="1"/>
  <c r="H15" i="1"/>
  <c r="H14" i="1"/>
  <c r="G16" i="1"/>
  <c r="G15" i="1"/>
  <c r="G14" i="1"/>
  <c r="F16" i="1"/>
  <c r="F15" i="1"/>
  <c r="F14" i="1"/>
  <c r="E16" i="1"/>
  <c r="E15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I18" i="1"/>
  <c r="H10" i="1"/>
  <c r="G10" i="1"/>
  <c r="F10" i="1"/>
  <c r="E10" i="1"/>
  <c r="H9" i="1"/>
  <c r="G9" i="1"/>
  <c r="F9" i="1"/>
  <c r="E9" i="1"/>
  <c r="H8" i="1"/>
  <c r="G8" i="1"/>
  <c r="F8" i="1"/>
  <c r="E8" i="1"/>
  <c r="E19" i="1"/>
  <c r="F19" i="1"/>
  <c r="H7" i="1"/>
  <c r="G7" i="1"/>
  <c r="F7" i="1"/>
  <c r="E7" i="1"/>
  <c r="H19" i="1"/>
  <c r="G19" i="1"/>
  <c r="H6" i="1"/>
  <c r="G6" i="1"/>
  <c r="F6" i="1"/>
  <c r="E6" i="1"/>
  <c r="H5" i="1"/>
  <c r="G5" i="1"/>
  <c r="F5" i="1"/>
  <c r="E5" i="1"/>
  <c r="E18" i="1" l="1"/>
  <c r="E20" i="1" s="1"/>
  <c r="G18" i="1"/>
  <c r="G20" i="1" s="1"/>
  <c r="H18" i="1"/>
  <c r="H20" i="1" s="1"/>
  <c r="F18" i="1"/>
  <c r="F20" i="1" s="1"/>
  <c r="I19" i="1" l="1"/>
</calcChain>
</file>

<file path=xl/sharedStrings.xml><?xml version="1.0" encoding="utf-8"?>
<sst xmlns="http://schemas.openxmlformats.org/spreadsheetml/2006/main" count="43" uniqueCount="27">
  <si>
    <t>Tanggal</t>
  </si>
  <si>
    <t>Menu</t>
  </si>
  <si>
    <t>Hengky</t>
  </si>
  <si>
    <t>Resto</t>
  </si>
  <si>
    <t>Jumlah</t>
  </si>
  <si>
    <t>Bayar</t>
  </si>
  <si>
    <t>BCA : 5270273353</t>
  </si>
  <si>
    <t>an Hengky Wiriawan</t>
  </si>
  <si>
    <t>Deposit</t>
  </si>
  <si>
    <t>TOTAL</t>
  </si>
  <si>
    <t>Pecel Ale Pak Slamet</t>
  </si>
  <si>
    <t>Bebek Ireng Mas Dhodo</t>
  </si>
  <si>
    <t>The Andi</t>
  </si>
  <si>
    <t>Nazhan</t>
  </si>
  <si>
    <t>Joseph</t>
  </si>
  <si>
    <t>Bakso Srengat</t>
  </si>
  <si>
    <t>Pecel Tumpang Bu Wandi</t>
  </si>
  <si>
    <t>STMJ Tuktuk</t>
  </si>
  <si>
    <t>Split Bil</t>
  </si>
  <si>
    <t>Sate Kambing Pak Kuwat</t>
  </si>
  <si>
    <t>Tahu Lontong Pak No</t>
  </si>
  <si>
    <t>Padangesian Nasi Goreng</t>
  </si>
  <si>
    <t>Wingko Londo + Alpukat</t>
  </si>
  <si>
    <t>Pecel Bu Benny</t>
  </si>
  <si>
    <t>Soto Mantenan</t>
  </si>
  <si>
    <t>Tips Driver</t>
  </si>
  <si>
    <t>Saldo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</si>
</sst>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3" borderId="1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8" borderId="8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64" fontId="4" fillId="3" borderId="1" xfId="1" applyNumberFormat="1" applyFont="1" applyFill="1" applyBorder="1" applyAlignment="1">
      <alignment horizontal="right"/>
    </xf>
    <xf numFmtId="0" fontId="4" fillId="0" borderId="0" xfId="0" applyFont="1"/>
    <xf numFmtId="0" fontId="3" fillId="5" borderId="1" xfId="0" applyFont="1" applyFill="1" applyBorder="1"/>
    <xf numFmtId="0" fontId="4" fillId="0" borderId="1" xfId="0" applyFont="1" applyBorder="1"/>
    <xf numFmtId="0" fontId="4" fillId="6" borderId="7" xfId="0" applyFont="1" applyFill="1" applyBorder="1"/>
    <xf numFmtId="164" fontId="4" fillId="6" borderId="7" xfId="1" applyNumberFormat="1" applyFont="1" applyFill="1" applyBorder="1" applyAlignment="1">
      <alignment horizontal="right"/>
    </xf>
    <xf numFmtId="0" fontId="3" fillId="3" borderId="1" xfId="0" applyFont="1" applyFill="1" applyBorder="1"/>
    <xf numFmtId="0" fontId="4" fillId="5" borderId="8" xfId="0" applyFont="1" applyFill="1" applyBorder="1"/>
    <xf numFmtId="164" fontId="4" fillId="5" borderId="8" xfId="1" applyNumberFormat="1" applyFont="1" applyFill="1" applyBorder="1" applyAlignment="1">
      <alignment horizontal="right"/>
    </xf>
    <xf numFmtId="0" fontId="3" fillId="6" borderId="1" xfId="0" applyFont="1" applyFill="1" applyBorder="1"/>
    <xf numFmtId="0" fontId="4" fillId="8" borderId="8" xfId="0" applyFont="1" applyFill="1" applyBorder="1"/>
    <xf numFmtId="164" fontId="4" fillId="8" borderId="3" xfId="1" applyNumberFormat="1" applyFont="1" applyFill="1" applyBorder="1" applyAlignment="1">
      <alignment horizontal="right"/>
    </xf>
    <xf numFmtId="0" fontId="3" fillId="8" borderId="1" xfId="0" applyFont="1" applyFill="1" applyBorder="1"/>
    <xf numFmtId="0" fontId="4" fillId="3" borderId="7" xfId="0" applyFont="1" applyFill="1" applyBorder="1"/>
    <xf numFmtId="164" fontId="4" fillId="3" borderId="7" xfId="1" applyNumberFormat="1" applyFont="1" applyFill="1" applyBorder="1" applyAlignment="1">
      <alignment horizontal="right"/>
    </xf>
    <xf numFmtId="0" fontId="4" fillId="6" borderId="8" xfId="0" applyFont="1" applyFill="1" applyBorder="1"/>
    <xf numFmtId="164" fontId="4" fillId="6" borderId="8" xfId="1" applyNumberFormat="1" applyFont="1" applyFill="1" applyBorder="1" applyAlignment="1">
      <alignment horizontal="right"/>
    </xf>
    <xf numFmtId="0" fontId="4" fillId="0" borderId="0" xfId="0" applyFont="1" applyBorder="1"/>
    <xf numFmtId="0" fontId="4" fillId="5" borderId="7" xfId="0" applyFont="1" applyFill="1" applyBorder="1"/>
    <xf numFmtId="164" fontId="4" fillId="5" borderId="7" xfId="1" applyNumberFormat="1" applyFont="1" applyFill="1" applyBorder="1" applyAlignment="1">
      <alignment horizontal="right"/>
    </xf>
    <xf numFmtId="164" fontId="4" fillId="8" borderId="8" xfId="1" applyNumberFormat="1" applyFont="1" applyFill="1" applyBorder="1" applyAlignment="1">
      <alignment horizontal="right"/>
    </xf>
    <xf numFmtId="0" fontId="3" fillId="0" borderId="0" xfId="0" applyFont="1"/>
    <xf numFmtId="164" fontId="4" fillId="0" borderId="1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64" fontId="4" fillId="0" borderId="1" xfId="1" applyNumberFormat="1" applyFont="1" applyFill="1" applyBorder="1" applyAlignment="1">
      <alignment horizontal="right"/>
    </xf>
    <xf numFmtId="164" fontId="3" fillId="4" borderId="1" xfId="1" applyNumberFormat="1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4" fillId="9" borderId="8" xfId="0" applyFont="1" applyFill="1" applyBorder="1"/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5" fontId="3" fillId="0" borderId="2" xfId="0" applyNumberFormat="1" applyFont="1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 vertical="center"/>
    </xf>
    <xf numFmtId="15" fontId="3" fillId="0" borderId="9" xfId="0" applyNumberFormat="1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0" fontId="4" fillId="0" borderId="5" xfId="0" applyFont="1" applyBorder="1"/>
    <xf numFmtId="0" fontId="4" fillId="0" borderId="4" xfId="0" applyFont="1" applyBorder="1"/>
    <xf numFmtId="43" fontId="3" fillId="0" borderId="1" xfId="0" applyNumberFormat="1" applyFont="1" applyBorder="1"/>
    <xf numFmtId="0" fontId="5" fillId="0" borderId="1" xfId="0" applyFont="1" applyBorder="1"/>
  </cellXfs>
  <cellStyles count="2">
    <cellStyle name="Comma" xfId="1" builtinId="3"/>
    <cellStyle name="Normal" xfId="0" builtinId="0"/>
  </cellStyles>
  <dxfs count="3">
    <dxf>
      <font>
        <color rgb="FFC00000"/>
      </font>
    </dxf>
    <dxf>
      <font>
        <color theme="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4"/>
  <sheetViews>
    <sheetView showGridLines="0" tabSelected="1" zoomScale="130" zoomScaleNormal="130" workbookViewId="0">
      <pane ySplit="4" topLeftCell="A5" activePane="bottomLeft" state="frozen"/>
      <selection pane="bottomLeft" activeCell="J20" sqref="J20"/>
    </sheetView>
  </sheetViews>
  <sheetFormatPr defaultRowHeight="15" x14ac:dyDescent="0.25"/>
  <cols>
    <col min="2" max="2" width="12" customWidth="1"/>
    <col min="3" max="3" width="26.5703125" bestFit="1" customWidth="1"/>
    <col min="4" max="4" width="19.42578125" bestFit="1" customWidth="1"/>
    <col min="5" max="8" width="13.140625" bestFit="1" customWidth="1"/>
    <col min="9" max="9" width="12.7109375" bestFit="1" customWidth="1"/>
    <col min="12" max="12" width="13.7109375" bestFit="1" customWidth="1"/>
  </cols>
  <sheetData>
    <row r="4" spans="2:12" ht="18.75" x14ac:dyDescent="0.25">
      <c r="B4" s="9" t="s">
        <v>0</v>
      </c>
      <c r="C4" s="10" t="s">
        <v>3</v>
      </c>
      <c r="D4" s="10" t="s">
        <v>1</v>
      </c>
      <c r="E4" s="10" t="s">
        <v>2</v>
      </c>
      <c r="F4" s="10" t="s">
        <v>12</v>
      </c>
      <c r="G4" s="10" t="s">
        <v>13</v>
      </c>
      <c r="H4" s="10" t="s">
        <v>14</v>
      </c>
      <c r="I4" s="10" t="s">
        <v>4</v>
      </c>
      <c r="K4" s="13"/>
      <c r="L4" s="33" t="s">
        <v>8</v>
      </c>
    </row>
    <row r="5" spans="2:12" ht="15" customHeight="1" x14ac:dyDescent="0.25">
      <c r="B5" s="47">
        <v>46041</v>
      </c>
      <c r="C5" s="1" t="s">
        <v>10</v>
      </c>
      <c r="D5" s="11" t="s">
        <v>18</v>
      </c>
      <c r="E5" s="12">
        <f t="shared" ref="E5:E10" si="0">I5/4</f>
        <v>17500</v>
      </c>
      <c r="F5" s="12">
        <f t="shared" ref="F5:F10" si="1">I5/4</f>
        <v>17500</v>
      </c>
      <c r="G5" s="12">
        <f t="shared" ref="G5:G10" si="2">I5/4</f>
        <v>17500</v>
      </c>
      <c r="H5" s="12">
        <f t="shared" ref="H5:H10" si="3">I5/4</f>
        <v>17500</v>
      </c>
      <c r="I5" s="12">
        <v>70000</v>
      </c>
      <c r="J5" s="13"/>
      <c r="K5" s="14" t="s">
        <v>13</v>
      </c>
      <c r="L5" s="15">
        <v>300000</v>
      </c>
    </row>
    <row r="6" spans="2:12" ht="15" customHeight="1" thickBot="1" x14ac:dyDescent="0.3">
      <c r="B6" s="48"/>
      <c r="C6" s="3" t="s">
        <v>11</v>
      </c>
      <c r="D6" s="16" t="s">
        <v>18</v>
      </c>
      <c r="E6" s="17">
        <f t="shared" si="0"/>
        <v>36500</v>
      </c>
      <c r="F6" s="17">
        <f t="shared" si="1"/>
        <v>36500</v>
      </c>
      <c r="G6" s="17">
        <f t="shared" si="2"/>
        <v>36500</v>
      </c>
      <c r="H6" s="17">
        <f t="shared" si="3"/>
        <v>36500</v>
      </c>
      <c r="I6" s="17">
        <v>146000</v>
      </c>
      <c r="J6" s="13"/>
      <c r="K6" s="18" t="s">
        <v>12</v>
      </c>
      <c r="L6" s="15">
        <v>394000</v>
      </c>
    </row>
    <row r="7" spans="2:12" ht="15.75" customHeight="1" thickBot="1" x14ac:dyDescent="0.3">
      <c r="B7" s="49">
        <v>46042</v>
      </c>
      <c r="C7" s="4" t="s">
        <v>15</v>
      </c>
      <c r="D7" s="19" t="s">
        <v>18</v>
      </c>
      <c r="E7" s="20">
        <f t="shared" si="0"/>
        <v>31000</v>
      </c>
      <c r="F7" s="20">
        <f t="shared" si="1"/>
        <v>31000</v>
      </c>
      <c r="G7" s="20">
        <f t="shared" si="2"/>
        <v>31000</v>
      </c>
      <c r="H7" s="20">
        <f t="shared" si="3"/>
        <v>31000</v>
      </c>
      <c r="I7" s="20">
        <v>124000</v>
      </c>
      <c r="J7" s="13"/>
      <c r="K7" s="21" t="s">
        <v>14</v>
      </c>
      <c r="L7" s="15">
        <v>390000</v>
      </c>
    </row>
    <row r="8" spans="2:12" ht="15.75" customHeight="1" x14ac:dyDescent="0.25">
      <c r="B8" s="50"/>
      <c r="C8" s="5" t="s">
        <v>16</v>
      </c>
      <c r="D8" s="22" t="s">
        <v>18</v>
      </c>
      <c r="E8" s="23">
        <f t="shared" si="0"/>
        <v>22500</v>
      </c>
      <c r="F8" s="23">
        <f t="shared" si="1"/>
        <v>22500</v>
      </c>
      <c r="G8" s="23">
        <f t="shared" si="2"/>
        <v>22500</v>
      </c>
      <c r="H8" s="23">
        <f t="shared" si="3"/>
        <v>22500</v>
      </c>
      <c r="I8" s="23">
        <v>90000</v>
      </c>
      <c r="J8" s="13"/>
      <c r="K8" s="24" t="s">
        <v>2</v>
      </c>
      <c r="L8" s="15">
        <v>311200</v>
      </c>
    </row>
    <row r="9" spans="2:12" ht="15.75" customHeight="1" thickBot="1" x14ac:dyDescent="0.3">
      <c r="B9" s="48"/>
      <c r="C9" s="6" t="s">
        <v>17</v>
      </c>
      <c r="D9" s="25" t="s">
        <v>18</v>
      </c>
      <c r="E9" s="26">
        <f t="shared" si="0"/>
        <v>16000</v>
      </c>
      <c r="F9" s="26">
        <f t="shared" si="1"/>
        <v>16000</v>
      </c>
      <c r="G9" s="26">
        <f t="shared" si="2"/>
        <v>16000</v>
      </c>
      <c r="H9" s="26">
        <f t="shared" si="3"/>
        <v>16000</v>
      </c>
      <c r="I9" s="26">
        <v>64000</v>
      </c>
      <c r="J9" s="13"/>
      <c r="K9" s="13"/>
      <c r="L9" s="13"/>
    </row>
    <row r="10" spans="2:12" ht="15.75" customHeight="1" thickBot="1" x14ac:dyDescent="0.3">
      <c r="B10" s="49">
        <v>46043</v>
      </c>
      <c r="C10" s="2" t="s">
        <v>19</v>
      </c>
      <c r="D10" s="27" t="s">
        <v>18</v>
      </c>
      <c r="E10" s="28">
        <f t="shared" si="0"/>
        <v>75300</v>
      </c>
      <c r="F10" s="28">
        <f t="shared" si="1"/>
        <v>75300</v>
      </c>
      <c r="G10" s="28">
        <f t="shared" si="2"/>
        <v>75300</v>
      </c>
      <c r="H10" s="28">
        <f t="shared" si="3"/>
        <v>75300</v>
      </c>
      <c r="I10" s="28">
        <v>301200</v>
      </c>
      <c r="J10" s="13"/>
      <c r="K10" s="29"/>
      <c r="L10" s="29"/>
    </row>
    <row r="11" spans="2:12" ht="15.75" customHeight="1" thickBot="1" x14ac:dyDescent="0.3">
      <c r="B11" s="48"/>
      <c r="C11" s="7" t="s">
        <v>20</v>
      </c>
      <c r="D11" s="40" t="s">
        <v>18</v>
      </c>
      <c r="E11" s="31">
        <f>I11/4</f>
        <v>23500</v>
      </c>
      <c r="F11" s="31">
        <f>I11/4</f>
        <v>23500</v>
      </c>
      <c r="G11" s="31">
        <f>I11/4</f>
        <v>23500</v>
      </c>
      <c r="H11" s="31">
        <f>I11/4</f>
        <v>23500</v>
      </c>
      <c r="I11" s="31">
        <v>94000</v>
      </c>
      <c r="J11" s="13"/>
      <c r="K11" s="29"/>
      <c r="L11" s="29"/>
    </row>
    <row r="12" spans="2:12" ht="15.75" customHeight="1" x14ac:dyDescent="0.25">
      <c r="B12" s="49">
        <v>46044</v>
      </c>
      <c r="C12" s="8" t="s">
        <v>21</v>
      </c>
      <c r="D12" s="22" t="s">
        <v>18</v>
      </c>
      <c r="E12" s="32">
        <f>I12/4</f>
        <v>17800</v>
      </c>
      <c r="F12" s="32">
        <f>I12/4</f>
        <v>17800</v>
      </c>
      <c r="G12" s="32">
        <f>I12/4</f>
        <v>17800</v>
      </c>
      <c r="H12" s="32">
        <f>I12/4</f>
        <v>17800</v>
      </c>
      <c r="I12" s="32">
        <v>71200</v>
      </c>
      <c r="J12" s="13"/>
      <c r="K12" s="29"/>
      <c r="L12" s="29"/>
    </row>
    <row r="13" spans="2:12" ht="15.75" customHeight="1" x14ac:dyDescent="0.25">
      <c r="B13" s="50"/>
      <c r="C13" s="41" t="s">
        <v>22</v>
      </c>
      <c r="D13" s="11" t="s">
        <v>18</v>
      </c>
      <c r="E13" s="12">
        <f>I13/4</f>
        <v>32500</v>
      </c>
      <c r="F13" s="12">
        <f>I13/4</f>
        <v>32500</v>
      </c>
      <c r="G13" s="12">
        <f>I13/4</f>
        <v>32500</v>
      </c>
      <c r="H13" s="12">
        <f>I13/4</f>
        <v>32500</v>
      </c>
      <c r="I13" s="12">
        <v>130000</v>
      </c>
      <c r="J13" s="13"/>
      <c r="K13" s="29"/>
      <c r="L13" s="29"/>
    </row>
    <row r="14" spans="2:12" ht="15.75" customHeight="1" thickBot="1" x14ac:dyDescent="0.3">
      <c r="B14" s="48"/>
      <c r="C14" s="6" t="s">
        <v>23</v>
      </c>
      <c r="D14" s="25" t="s">
        <v>18</v>
      </c>
      <c r="E14" s="26">
        <f>I14/4</f>
        <v>31000</v>
      </c>
      <c r="F14" s="26">
        <f>I14/4</f>
        <v>31000</v>
      </c>
      <c r="G14" s="26">
        <f>I14/4</f>
        <v>31000</v>
      </c>
      <c r="H14" s="26">
        <f>I14/4</f>
        <v>31000</v>
      </c>
      <c r="I14" s="26">
        <v>124000</v>
      </c>
      <c r="J14" s="13"/>
      <c r="K14" s="29"/>
      <c r="L14" s="29"/>
    </row>
    <row r="15" spans="2:12" ht="15.75" customHeight="1" x14ac:dyDescent="0.25">
      <c r="B15" s="49">
        <v>46045</v>
      </c>
      <c r="C15" s="2" t="s">
        <v>24</v>
      </c>
      <c r="D15" s="27" t="s">
        <v>18</v>
      </c>
      <c r="E15" s="28">
        <f>I15/4</f>
        <v>43000</v>
      </c>
      <c r="F15" s="28">
        <f>I15/4</f>
        <v>43000</v>
      </c>
      <c r="G15" s="28">
        <f>I15/4</f>
        <v>43000</v>
      </c>
      <c r="H15" s="28">
        <f>I15/4</f>
        <v>43000</v>
      </c>
      <c r="I15" s="28">
        <v>172000</v>
      </c>
      <c r="J15" s="13"/>
      <c r="K15" s="29"/>
      <c r="L15" s="29"/>
    </row>
    <row r="16" spans="2:12" ht="15.75" customHeight="1" thickBot="1" x14ac:dyDescent="0.3">
      <c r="B16" s="48"/>
      <c r="C16" s="7" t="s">
        <v>25</v>
      </c>
      <c r="D16" s="30" t="s">
        <v>18</v>
      </c>
      <c r="E16" s="31">
        <f>I16/4</f>
        <v>25000</v>
      </c>
      <c r="F16" s="31">
        <f>I16/4</f>
        <v>25000</v>
      </c>
      <c r="G16" s="31">
        <f>I16/4</f>
        <v>25000</v>
      </c>
      <c r="H16" s="31">
        <f>I16/4</f>
        <v>25000</v>
      </c>
      <c r="I16" s="31">
        <v>100000</v>
      </c>
      <c r="J16" s="13"/>
      <c r="K16" s="29"/>
      <c r="L16" s="29"/>
    </row>
    <row r="17" spans="2:12" ht="15.75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33"/>
      <c r="L17" s="13"/>
    </row>
    <row r="18" spans="2:12" ht="15.75" x14ac:dyDescent="0.25">
      <c r="B18" s="42"/>
      <c r="C18" s="45" t="s">
        <v>9</v>
      </c>
      <c r="D18" s="46"/>
      <c r="E18" s="34">
        <f>SUM(E5:E17)</f>
        <v>371600</v>
      </c>
      <c r="F18" s="34">
        <f>SUM(F5:F17)</f>
        <v>371600</v>
      </c>
      <c r="G18" s="34">
        <f>SUM(G5:G17)</f>
        <v>371600</v>
      </c>
      <c r="H18" s="34">
        <f>SUM(H5:H17)</f>
        <v>371600</v>
      </c>
      <c r="I18" s="34">
        <f>SUM(I5:I17)</f>
        <v>1486400</v>
      </c>
      <c r="J18" s="13"/>
      <c r="K18" s="13"/>
      <c r="L18" s="13"/>
    </row>
    <row r="19" spans="2:12" ht="15.75" x14ac:dyDescent="0.25">
      <c r="B19" s="43"/>
      <c r="C19" s="35"/>
      <c r="D19" s="36" t="s">
        <v>8</v>
      </c>
      <c r="E19" s="15">
        <f>L8</f>
        <v>311200</v>
      </c>
      <c r="F19" s="15">
        <f>L6</f>
        <v>394000</v>
      </c>
      <c r="G19" s="15">
        <f>L5</f>
        <v>300000</v>
      </c>
      <c r="H19" s="15">
        <f>L7</f>
        <v>390000</v>
      </c>
      <c r="I19" s="37">
        <f>SUM(E19:H19)</f>
        <v>1395200</v>
      </c>
      <c r="J19" s="13"/>
      <c r="K19" s="13"/>
      <c r="L19" s="13"/>
    </row>
    <row r="20" spans="2:12" ht="15.75" x14ac:dyDescent="0.25">
      <c r="B20" s="43"/>
      <c r="C20" s="44" t="s">
        <v>5</v>
      </c>
      <c r="D20" s="44"/>
      <c r="E20" s="38">
        <f>IF(E19&lt;&gt;0,(SUM(E18:E18)-E19),SUM(E18:E18))</f>
        <v>60400</v>
      </c>
      <c r="F20" s="38">
        <f>IF(F19&lt;&gt;0,(SUM(F18:F18)-F19),SUM(F18:F18))</f>
        <v>-22400</v>
      </c>
      <c r="G20" s="38">
        <f>IF(G19&lt;&gt;0,(SUM(G18:G18)-G19),SUM(G18:G18))</f>
        <v>71600</v>
      </c>
      <c r="H20" s="38">
        <f>IF(H19&lt;&gt;0,(SUM(H18:H18)-H19),SUM(H18:H18))</f>
        <v>-18400</v>
      </c>
      <c r="I20" s="38"/>
      <c r="J20" s="13"/>
      <c r="K20" s="13"/>
      <c r="L20" s="13"/>
    </row>
    <row r="21" spans="2:12" ht="15.75" x14ac:dyDescent="0.25">
      <c r="B21" s="52"/>
      <c r="C21" s="51"/>
      <c r="D21" s="39" t="s">
        <v>26</v>
      </c>
      <c r="E21" s="54">
        <v>0</v>
      </c>
      <c r="F21" s="53">
        <f>F20-I21</f>
        <v>-42533.333333333328</v>
      </c>
      <c r="G21" s="53">
        <f>G20-I21</f>
        <v>51466.666666666672</v>
      </c>
      <c r="H21" s="53">
        <f>H20-I21</f>
        <v>-38533.333333333328</v>
      </c>
      <c r="I21" s="53">
        <f>E20/3</f>
        <v>20133.333333333332</v>
      </c>
      <c r="J21" s="13"/>
      <c r="K21" s="13"/>
      <c r="L21" s="13"/>
    </row>
    <row r="22" spans="2:12" ht="15.75" x14ac:dyDescent="0.25">
      <c r="B22" s="13"/>
      <c r="C22" s="13"/>
      <c r="E22" s="13"/>
      <c r="F22" s="13"/>
      <c r="G22" s="13"/>
      <c r="H22" s="13"/>
      <c r="I22" s="13"/>
      <c r="J22" s="13"/>
      <c r="K22" s="13"/>
      <c r="L22" s="13"/>
    </row>
    <row r="23" spans="2:12" ht="15.75" x14ac:dyDescent="0.25">
      <c r="B23" s="13"/>
      <c r="C23" s="13"/>
      <c r="D23" s="33" t="s">
        <v>6</v>
      </c>
      <c r="E23" s="13"/>
      <c r="F23" s="13"/>
      <c r="G23" s="13"/>
      <c r="H23" s="13"/>
      <c r="I23" s="13"/>
      <c r="J23" s="13"/>
      <c r="K23" s="13"/>
      <c r="L23" s="13"/>
    </row>
    <row r="24" spans="2:12" ht="15.75" x14ac:dyDescent="0.25">
      <c r="B24" s="13"/>
      <c r="C24" s="13"/>
      <c r="D24" s="33" t="s">
        <v>7</v>
      </c>
      <c r="E24" s="13"/>
      <c r="F24" s="13"/>
      <c r="G24" s="13"/>
      <c r="H24" s="13"/>
      <c r="I24" s="13"/>
      <c r="J24" s="13"/>
      <c r="K24" s="13"/>
      <c r="L24" s="13"/>
    </row>
  </sheetData>
  <mergeCells count="8">
    <mergeCell ref="B18:B20"/>
    <mergeCell ref="C20:D20"/>
    <mergeCell ref="C18:D18"/>
    <mergeCell ref="B5:B6"/>
    <mergeCell ref="B7:B9"/>
    <mergeCell ref="B10:B11"/>
    <mergeCell ref="B12:B14"/>
    <mergeCell ref="B15:B16"/>
  </mergeCells>
  <conditionalFormatting sqref="E20:I20">
    <cfRule type="cellIs" dxfId="2" priority="2" operator="greaterThanOrEqual">
      <formula>0</formula>
    </cfRule>
    <cfRule type="cellIs" dxfId="1" priority="3" operator="lessThan">
      <formula>0</formula>
    </cfRule>
  </conditionalFormatting>
  <conditionalFormatting sqref="G21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19-23Jan2026</vt:lpstr>
    </vt:vector>
  </TitlesOfParts>
  <Company>PT. Gudang Garam Tbk.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Hengky Wiriawan</dc:creator>
  <cp:lastModifiedBy>Hengky Wiriawan</cp:lastModifiedBy>
  <dcterms:created xsi:type="dcterms:W3CDTF">2023-05-08T09:47:33Z</dcterms:created>
  <dcterms:modified xsi:type="dcterms:W3CDTF">2026-01-26T01:57:48Z</dcterms:modified>
</cp:coreProperties>
</file>