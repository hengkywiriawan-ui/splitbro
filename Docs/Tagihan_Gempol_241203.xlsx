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lsubekti\Documents\Amper\"/>
    </mc:Choice>
  </mc:AlternateContent>
  <xr:revisionPtr revIDLastSave="0" documentId="8_{06BAC48E-A94F-4FEB-9A90-346FCAEEC6E4}" xr6:coauthVersionLast="47" xr6:coauthVersionMax="47" xr10:uidLastSave="{00000000-0000-0000-0000-000000000000}"/>
  <bookViews>
    <workbookView xWindow="0" yWindow="0" windowWidth="27636" windowHeight="12888" xr2:uid="{00000000-000D-0000-FFFF-FFFF00000000}"/>
  </bookViews>
  <sheets>
    <sheet name="Tagihan Week 1" sheetId="3" r:id="rId1"/>
    <sheet name="Tagihan Week 2" sheetId="5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3" l="1"/>
  <c r="M70" i="3"/>
  <c r="F70" i="3"/>
  <c r="G70" i="3"/>
  <c r="H70" i="3"/>
  <c r="I70" i="3"/>
  <c r="J70" i="3"/>
  <c r="K70" i="3"/>
  <c r="L70" i="3"/>
  <c r="E70" i="3"/>
  <c r="L69" i="5"/>
  <c r="M69" i="5"/>
  <c r="L70" i="5"/>
  <c r="L72" i="5"/>
  <c r="K69" i="5"/>
  <c r="K70" i="5"/>
  <c r="K72" i="5"/>
  <c r="J69" i="5"/>
  <c r="J70" i="5"/>
  <c r="J72" i="5"/>
  <c r="I69" i="5"/>
  <c r="I70" i="5"/>
  <c r="I72" i="5"/>
  <c r="H69" i="5"/>
  <c r="H70" i="5"/>
  <c r="H72" i="5"/>
  <c r="G69" i="5"/>
  <c r="G70" i="5"/>
  <c r="G72" i="5"/>
  <c r="F69" i="5"/>
  <c r="F70" i="5"/>
  <c r="F72" i="5"/>
  <c r="E69" i="5"/>
  <c r="E70" i="5"/>
  <c r="E72" i="5"/>
  <c r="N71" i="5"/>
  <c r="F57" i="3"/>
  <c r="G57" i="3"/>
  <c r="H57" i="3"/>
  <c r="I57" i="3"/>
  <c r="J57" i="3"/>
  <c r="K57" i="3"/>
  <c r="L57" i="3"/>
  <c r="E57" i="3"/>
  <c r="F63" i="3"/>
  <c r="G63" i="3"/>
  <c r="H63" i="3"/>
  <c r="I63" i="3"/>
  <c r="E63" i="3"/>
  <c r="L71" i="3"/>
  <c r="K71" i="3"/>
  <c r="J71" i="3"/>
  <c r="I71" i="3"/>
  <c r="H71" i="3"/>
  <c r="G71" i="3"/>
  <c r="F71" i="3"/>
  <c r="I35" i="3"/>
  <c r="I36" i="3"/>
  <c r="L35" i="3"/>
  <c r="L36" i="3"/>
  <c r="K35" i="3"/>
  <c r="K36" i="3"/>
  <c r="J35" i="3"/>
  <c r="J36" i="3"/>
  <c r="H35" i="3"/>
  <c r="H36" i="3"/>
  <c r="G35" i="3"/>
  <c r="G36" i="3"/>
  <c r="F35" i="3"/>
  <c r="F36" i="3"/>
  <c r="E35" i="3"/>
  <c r="E36" i="3"/>
  <c r="Q15" i="3"/>
  <c r="N72" i="3"/>
  <c r="L73" i="3"/>
  <c r="I73" i="3"/>
  <c r="K73" i="3"/>
  <c r="J73" i="3"/>
  <c r="H73" i="3"/>
  <c r="G73" i="3"/>
  <c r="F73" i="3"/>
  <c r="E73" i="3"/>
</calcChain>
</file>

<file path=xl/sharedStrings.xml><?xml version="1.0" encoding="utf-8"?>
<sst xmlns="http://schemas.openxmlformats.org/spreadsheetml/2006/main" count="120" uniqueCount="79">
  <si>
    <t>Tanggal</t>
  </si>
  <si>
    <t>Resto</t>
  </si>
  <si>
    <t>Menu</t>
  </si>
  <si>
    <t>Ko Hengky</t>
  </si>
  <si>
    <t>Pak Asep</t>
  </si>
  <si>
    <t>Pak Kelik</t>
  </si>
  <si>
    <t>Pak Fredy</t>
  </si>
  <si>
    <t>Louis</t>
  </si>
  <si>
    <t>David</t>
  </si>
  <si>
    <t>Raffi</t>
  </si>
  <si>
    <t>Alvin</t>
  </si>
  <si>
    <t>Driver 2 orang</t>
  </si>
  <si>
    <t>Jumlah</t>
  </si>
  <si>
    <t>Deposit</t>
  </si>
  <si>
    <t>Sisa</t>
  </si>
  <si>
    <t>Warung Bu Kris</t>
  </si>
  <si>
    <t>Es Ovaltin + Cao</t>
  </si>
  <si>
    <t>Pak Kelik Cak Har</t>
  </si>
  <si>
    <t>Es teh tawar</t>
  </si>
  <si>
    <t>Ayam penyet / sambel ijo</t>
  </si>
  <si>
    <t>Bakso goreng</t>
  </si>
  <si>
    <t>bakso penyet</t>
  </si>
  <si>
    <t>iga penyet</t>
  </si>
  <si>
    <t>komplit kecil</t>
  </si>
  <si>
    <t>krupuk puli</t>
  </si>
  <si>
    <t>krupuk putih</t>
  </si>
  <si>
    <t>nasi goreng merah</t>
  </si>
  <si>
    <t>nasi putih</t>
  </si>
  <si>
    <t>PPN 10%</t>
  </si>
  <si>
    <t>nasi rawon babat paru</t>
  </si>
  <si>
    <t>Tahu tempe penyet</t>
  </si>
  <si>
    <t>Bebek Canggih</t>
  </si>
  <si>
    <t>Nasi bebek</t>
  </si>
  <si>
    <t>Es teh</t>
  </si>
  <si>
    <t>Teh hangat</t>
  </si>
  <si>
    <t>Bang Ali</t>
  </si>
  <si>
    <t>Ayam kampung</t>
  </si>
  <si>
    <t>Pete Goreng</t>
  </si>
  <si>
    <t>Sate usus goreng</t>
  </si>
  <si>
    <t>Tahu penyet</t>
  </si>
  <si>
    <t>Terong penyet</t>
  </si>
  <si>
    <t>Telor goreng</t>
  </si>
  <si>
    <t>Bakwan penyet</t>
  </si>
  <si>
    <t>Nasi putih</t>
  </si>
  <si>
    <t>Es kelapa muda</t>
  </si>
  <si>
    <t>Es Teh Tawar</t>
  </si>
  <si>
    <t>Teh tawar hangat</t>
  </si>
  <si>
    <t>Teh manis hangat</t>
  </si>
  <si>
    <t>Krupuk Tengiri</t>
  </si>
  <si>
    <t>Krupuk udang</t>
  </si>
  <si>
    <t>Soto bang Wawan</t>
  </si>
  <si>
    <t>soto daging</t>
  </si>
  <si>
    <t>soto daging telur</t>
  </si>
  <si>
    <t>soto campr istimewa</t>
  </si>
  <si>
    <t>soto babat telur</t>
  </si>
  <si>
    <t>soto campur biasa telur</t>
  </si>
  <si>
    <t>teh tawar anget</t>
  </si>
  <si>
    <t>es teh tawar</t>
  </si>
  <si>
    <t>esteh manis</t>
  </si>
  <si>
    <t>krupuk isi 1</t>
  </si>
  <si>
    <t>otak2</t>
  </si>
  <si>
    <t>Soto Cak Har</t>
  </si>
  <si>
    <t>Soto</t>
  </si>
  <si>
    <t>Teh tawar</t>
  </si>
  <si>
    <t>Krupuk</t>
  </si>
  <si>
    <t>Bakso Pak Samrat</t>
  </si>
  <si>
    <t>Bakso urat granat urat</t>
  </si>
  <si>
    <t>Bakso urat</t>
  </si>
  <si>
    <t>Kerupuk ikan</t>
  </si>
  <si>
    <t>Teh manis</t>
  </si>
  <si>
    <t>Tahu campur pak sadak</t>
  </si>
  <si>
    <t>Tahu campur</t>
  </si>
  <si>
    <t>Lontong</t>
  </si>
  <si>
    <t>Minum</t>
  </si>
  <si>
    <t>Ayam Goreng</t>
  </si>
  <si>
    <t xml:space="preserve">Nasi ayam goreng </t>
  </si>
  <si>
    <t>TOTAL</t>
  </si>
  <si>
    <t>Bagi Makan Driver</t>
  </si>
  <si>
    <t>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</si>
</sst>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IDR]\ * #,##0.00_);_([$IDR]\ * \(#,##0.00\);_([$IDR]\ 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164" fontId="0" fillId="0" borderId="1" xfId="1" applyNumberFormat="1" applyFont="1" applyBorder="1" applyAlignment="1">
      <alignment horizontal="right"/>
    </xf>
    <xf numFmtId="0" fontId="2" fillId="5" borderId="1" xfId="0" applyFont="1" applyFill="1" applyBorder="1"/>
    <xf numFmtId="164" fontId="0" fillId="6" borderId="1" xfId="1" applyNumberFormat="1" applyFont="1" applyFill="1" applyBorder="1"/>
    <xf numFmtId="164" fontId="0" fillId="0" borderId="1" xfId="0" applyNumberFormat="1" applyBorder="1"/>
    <xf numFmtId="0" fontId="2" fillId="7" borderId="1" xfId="0" applyFont="1" applyFill="1" applyBorder="1"/>
    <xf numFmtId="0" fontId="2" fillId="0" borderId="1" xfId="0" applyFont="1" applyBorder="1"/>
    <xf numFmtId="164" fontId="0" fillId="6" borderId="1" xfId="1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0" fontId="0" fillId="0" borderId="6" xfId="0" applyBorder="1"/>
    <xf numFmtId="43" fontId="0" fillId="0" borderId="1" xfId="0" applyNumberForma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4" fillId="6" borderId="1" xfId="1" applyNumberFormat="1" applyFont="1" applyFill="1" applyBorder="1" applyAlignment="1">
      <alignment horizontal="right"/>
    </xf>
    <xf numFmtId="0" fontId="2" fillId="5" borderId="0" xfId="0" applyFont="1" applyFill="1"/>
    <xf numFmtId="0" fontId="0" fillId="0" borderId="5" xfId="0" applyBorder="1"/>
    <xf numFmtId="164" fontId="0" fillId="6" borderId="0" xfId="1" applyNumberFormat="1" applyFont="1" applyFill="1" applyBorder="1" applyAlignment="1">
      <alignment horizontal="right"/>
    </xf>
    <xf numFmtId="164" fontId="0" fillId="0" borderId="6" xfId="1" applyNumberFormat="1" applyFont="1" applyFill="1" applyBorder="1" applyAlignment="1">
      <alignment horizontal="right"/>
    </xf>
    <xf numFmtId="0" fontId="0" fillId="0" borderId="10" xfId="0" applyBorder="1"/>
    <xf numFmtId="0" fontId="2" fillId="3" borderId="4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11" xfId="1" applyNumberFormat="1" applyFont="1" applyBorder="1" applyAlignment="1">
      <alignment horizontal="right"/>
    </xf>
    <xf numFmtId="164" fontId="0" fillId="0" borderId="9" xfId="1" applyNumberFormat="1" applyFont="1" applyBorder="1" applyAlignment="1">
      <alignment horizontal="right"/>
    </xf>
    <xf numFmtId="0" fontId="0" fillId="0" borderId="12" xfId="0" applyBorder="1"/>
    <xf numFmtId="164" fontId="0" fillId="0" borderId="12" xfId="1" applyNumberFormat="1" applyFont="1" applyFill="1" applyBorder="1" applyAlignment="1">
      <alignment horizontal="right"/>
    </xf>
    <xf numFmtId="164" fontId="0" fillId="0" borderId="10" xfId="1" applyNumberFormat="1" applyFont="1" applyFill="1" applyBorder="1" applyAlignment="1">
      <alignment horizontal="right"/>
    </xf>
    <xf numFmtId="164" fontId="0" fillId="0" borderId="13" xfId="1" applyNumberFormat="1" applyFont="1" applyFill="1" applyBorder="1" applyAlignment="1">
      <alignment horizontal="right"/>
    </xf>
    <xf numFmtId="0" fontId="0" fillId="0" borderId="14" xfId="0" applyBorder="1"/>
    <xf numFmtId="165" fontId="3" fillId="9" borderId="8" xfId="0" applyNumberFormat="1" applyFont="1" applyFill="1" applyBorder="1" applyAlignment="1">
      <alignment horizontal="right"/>
    </xf>
    <xf numFmtId="0" fontId="0" fillId="0" borderId="12" xfId="1" applyNumberFormat="1" applyFont="1" applyFill="1" applyBorder="1" applyAlignment="1">
      <alignment horizontal="right"/>
    </xf>
    <xf numFmtId="0" fontId="0" fillId="0" borderId="6" xfId="1" applyNumberFormat="1" applyFont="1" applyFill="1" applyBorder="1" applyAlignment="1">
      <alignment horizontal="right"/>
    </xf>
    <xf numFmtId="0" fontId="0" fillId="0" borderId="1" xfId="1" applyNumberFormat="1" applyFont="1" applyFill="1" applyBorder="1" applyAlignment="1">
      <alignment horizontal="right"/>
    </xf>
    <xf numFmtId="0" fontId="5" fillId="11" borderId="2" xfId="1" applyNumberFormat="1" applyFont="1" applyFill="1" applyBorder="1" applyAlignment="1">
      <alignment horizontal="right"/>
    </xf>
    <xf numFmtId="0" fontId="5" fillId="11" borderId="1" xfId="1" applyNumberFormat="1" applyFont="1" applyFill="1" applyBorder="1" applyAlignment="1">
      <alignment horizontal="right"/>
    </xf>
    <xf numFmtId="0" fontId="5" fillId="11" borderId="0" xfId="0" applyFont="1" applyFill="1"/>
    <xf numFmtId="0" fontId="5" fillId="11" borderId="12" xfId="1" applyNumberFormat="1" applyFont="1" applyFill="1" applyBorder="1" applyAlignment="1">
      <alignment horizontal="right"/>
    </xf>
    <xf numFmtId="15" fontId="2" fillId="0" borderId="0" xfId="0" applyNumberFormat="1" applyFont="1" applyAlignment="1">
      <alignment horizontal="center" vertical="center"/>
    </xf>
    <xf numFmtId="164" fontId="0" fillId="0" borderId="0" xfId="1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15" fontId="2" fillId="0" borderId="15" xfId="0" applyNumberFormat="1" applyFont="1" applyBorder="1" applyAlignment="1">
      <alignment horizontal="center" vertical="center"/>
    </xf>
    <xf numFmtId="0" fontId="0" fillId="0" borderId="15" xfId="0" applyBorder="1"/>
    <xf numFmtId="164" fontId="0" fillId="0" borderId="15" xfId="1" applyNumberFormat="1" applyFont="1" applyFill="1" applyBorder="1" applyAlignment="1">
      <alignment horizontal="right"/>
    </xf>
    <xf numFmtId="0" fontId="0" fillId="0" borderId="4" xfId="0" applyBorder="1"/>
    <xf numFmtId="164" fontId="0" fillId="0" borderId="4" xfId="1" applyNumberFormat="1" applyFont="1" applyFill="1" applyBorder="1" applyAlignment="1">
      <alignment horizontal="right"/>
    </xf>
    <xf numFmtId="0" fontId="3" fillId="15" borderId="1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 vertical="center"/>
    </xf>
    <xf numFmtId="15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R76"/>
  <sheetViews>
    <sheetView showGridLines="0" tabSelected="1" topLeftCell="D1" zoomScaleNormal="100" workbookViewId="0">
      <pane ySplit="4" topLeftCell="D67" activePane="bottomLeft" state="frozen"/>
      <selection pane="bottomLeft" activeCell="E71" sqref="E71"/>
      <selection activeCell="C1" sqref="C1"/>
    </sheetView>
  </sheetViews>
  <sheetFormatPr defaultRowHeight="15"/>
  <cols>
    <col min="2" max="2" width="15.42578125" customWidth="1"/>
    <col min="3" max="3" width="15.42578125" bestFit="1" customWidth="1"/>
    <col min="4" max="4" width="27.7109375" bestFit="1" customWidth="1"/>
    <col min="5" max="12" width="16.5703125" customWidth="1"/>
    <col min="13" max="13" width="13.28515625" customWidth="1"/>
    <col min="14" max="14" width="12.7109375" bestFit="1" customWidth="1"/>
    <col min="16" max="16" width="19.140625" bestFit="1" customWidth="1"/>
    <col min="17" max="17" width="13.7109375" bestFit="1" customWidth="1"/>
    <col min="18" max="18" width="9.7109375" bestFit="1" customWidth="1"/>
  </cols>
  <sheetData>
    <row r="4" spans="2:18" ht="15.75" thickBot="1">
      <c r="B4" s="1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  <c r="I4" s="22" t="s">
        <v>7</v>
      </c>
      <c r="J4" s="22" t="s">
        <v>8</v>
      </c>
      <c r="K4" s="22" t="s">
        <v>9</v>
      </c>
      <c r="L4" s="22" t="s">
        <v>10</v>
      </c>
      <c r="M4" s="22" t="s">
        <v>11</v>
      </c>
      <c r="N4" s="22" t="s">
        <v>12</v>
      </c>
      <c r="Q4" s="2" t="s">
        <v>13</v>
      </c>
      <c r="R4" s="2" t="s">
        <v>14</v>
      </c>
    </row>
    <row r="5" spans="2:18" ht="14.45" customHeight="1">
      <c r="B5" s="51">
        <v>45628</v>
      </c>
      <c r="C5" s="48" t="s">
        <v>15</v>
      </c>
      <c r="D5" s="23" t="s">
        <v>16</v>
      </c>
      <c r="E5" s="23">
        <v>13200</v>
      </c>
      <c r="F5" s="23"/>
      <c r="G5" s="23"/>
      <c r="H5" s="23"/>
      <c r="I5" s="23"/>
      <c r="J5" s="23"/>
      <c r="K5" s="23"/>
      <c r="L5" s="23"/>
      <c r="M5" s="35"/>
      <c r="N5" s="24"/>
      <c r="P5" s="5" t="s">
        <v>17</v>
      </c>
      <c r="Q5" s="6">
        <v>402000</v>
      </c>
      <c r="R5" s="7"/>
    </row>
    <row r="6" spans="2:18" ht="14.45" customHeight="1">
      <c r="B6" s="52"/>
      <c r="C6" s="49"/>
      <c r="D6" s="3" t="s">
        <v>18</v>
      </c>
      <c r="E6" s="3"/>
      <c r="F6" s="3">
        <v>4400</v>
      </c>
      <c r="G6" s="3">
        <v>4400</v>
      </c>
      <c r="H6" s="3">
        <v>4400</v>
      </c>
      <c r="I6" s="3">
        <v>4400</v>
      </c>
      <c r="J6" s="3">
        <v>4400</v>
      </c>
      <c r="K6" s="3">
        <v>4400</v>
      </c>
      <c r="L6" s="3">
        <v>4400</v>
      </c>
      <c r="M6" s="36"/>
      <c r="N6" s="25"/>
      <c r="P6" s="17"/>
      <c r="Q6" s="6"/>
      <c r="R6" s="7"/>
    </row>
    <row r="7" spans="2:18" ht="14.45" customHeight="1">
      <c r="B7" s="52"/>
      <c r="C7" s="49"/>
      <c r="D7" s="3" t="s">
        <v>19</v>
      </c>
      <c r="E7" s="3">
        <v>23650</v>
      </c>
      <c r="F7" s="3"/>
      <c r="G7" s="3">
        <v>23650</v>
      </c>
      <c r="H7" s="3">
        <v>23650</v>
      </c>
      <c r="I7" s="3">
        <v>23650</v>
      </c>
      <c r="J7" s="3"/>
      <c r="K7" s="3"/>
      <c r="L7" s="3"/>
      <c r="M7" s="36"/>
      <c r="N7" s="25"/>
      <c r="P7" s="17"/>
      <c r="Q7" s="6"/>
      <c r="R7" s="7"/>
    </row>
    <row r="8" spans="2:18" ht="14.45" customHeight="1">
      <c r="B8" s="52"/>
      <c r="C8" s="49"/>
      <c r="D8" s="3" t="s">
        <v>20</v>
      </c>
      <c r="E8" s="3"/>
      <c r="F8" s="3"/>
      <c r="G8" s="3"/>
      <c r="H8" s="3">
        <v>33550</v>
      </c>
      <c r="I8" s="3"/>
      <c r="J8" s="3"/>
      <c r="K8" s="3"/>
      <c r="L8" s="3"/>
      <c r="M8" s="36"/>
      <c r="N8" s="25"/>
      <c r="P8" s="17"/>
      <c r="Q8" s="6"/>
      <c r="R8" s="7"/>
    </row>
    <row r="9" spans="2:18" ht="14.45" customHeight="1">
      <c r="B9" s="52"/>
      <c r="C9" s="49"/>
      <c r="D9" s="3" t="s">
        <v>21</v>
      </c>
      <c r="E9" s="3"/>
      <c r="F9" s="3">
        <v>34650</v>
      </c>
      <c r="G9" s="3"/>
      <c r="H9" s="3"/>
      <c r="I9" s="3"/>
      <c r="J9" s="3"/>
      <c r="K9" s="3"/>
      <c r="L9" s="3"/>
      <c r="M9" s="36"/>
      <c r="N9" s="25"/>
      <c r="P9" s="17"/>
      <c r="Q9" s="6"/>
      <c r="R9" s="7"/>
    </row>
    <row r="10" spans="2:18" ht="14.45" customHeight="1">
      <c r="B10" s="52"/>
      <c r="C10" s="49"/>
      <c r="D10" s="3" t="s">
        <v>22</v>
      </c>
      <c r="E10" s="3"/>
      <c r="F10" s="3">
        <v>45400</v>
      </c>
      <c r="G10" s="3"/>
      <c r="H10" s="3"/>
      <c r="I10" s="3"/>
      <c r="J10" s="3"/>
      <c r="K10" s="3"/>
      <c r="L10" s="3"/>
      <c r="M10" s="36"/>
      <c r="N10" s="25"/>
      <c r="P10" s="17"/>
      <c r="Q10" s="6"/>
      <c r="R10" s="7"/>
    </row>
    <row r="11" spans="2:18" ht="14.45" customHeight="1">
      <c r="B11" s="52"/>
      <c r="C11" s="49"/>
      <c r="D11" s="3" t="s">
        <v>23</v>
      </c>
      <c r="E11" s="3"/>
      <c r="F11" s="3"/>
      <c r="G11" s="3"/>
      <c r="H11" s="3"/>
      <c r="I11" s="3"/>
      <c r="J11" s="3">
        <v>63250</v>
      </c>
      <c r="K11" s="3"/>
      <c r="L11" s="3"/>
      <c r="M11" s="36"/>
      <c r="N11" s="25"/>
      <c r="P11" s="17"/>
      <c r="Q11" s="6"/>
      <c r="R11" s="7"/>
    </row>
    <row r="12" spans="2:18" ht="14.45" customHeight="1">
      <c r="B12" s="52"/>
      <c r="C12" s="49"/>
      <c r="D12" s="3" t="s">
        <v>24</v>
      </c>
      <c r="E12" s="3"/>
      <c r="F12" s="3"/>
      <c r="G12" s="3"/>
      <c r="H12" s="3"/>
      <c r="I12" s="3"/>
      <c r="J12" s="3">
        <v>3300</v>
      </c>
      <c r="K12" s="3">
        <v>3300</v>
      </c>
      <c r="L12" s="3">
        <v>3300</v>
      </c>
      <c r="M12" s="36"/>
      <c r="N12" s="25"/>
      <c r="Q12" s="6"/>
      <c r="R12" s="7"/>
    </row>
    <row r="13" spans="2:18" ht="14.45" customHeight="1">
      <c r="B13" s="52"/>
      <c r="C13" s="49"/>
      <c r="D13" s="3" t="s">
        <v>25</v>
      </c>
      <c r="E13" s="3">
        <v>550</v>
      </c>
      <c r="F13" s="3">
        <v>550</v>
      </c>
      <c r="G13" s="3">
        <v>550</v>
      </c>
      <c r="H13" s="3">
        <v>550</v>
      </c>
      <c r="I13" s="3">
        <v>550</v>
      </c>
      <c r="J13" s="3"/>
      <c r="K13" s="3"/>
      <c r="L13" s="3"/>
      <c r="M13" s="37"/>
      <c r="N13" s="25"/>
    </row>
    <row r="14" spans="2:18" ht="14.45" customHeight="1">
      <c r="B14" s="52"/>
      <c r="C14" s="49"/>
      <c r="D14" s="18" t="s">
        <v>26</v>
      </c>
      <c r="E14" s="18"/>
      <c r="F14" s="18"/>
      <c r="G14" s="18"/>
      <c r="H14" s="18"/>
      <c r="I14" s="18"/>
      <c r="J14" s="18"/>
      <c r="K14" s="18"/>
      <c r="L14" s="18">
        <v>35200</v>
      </c>
      <c r="M14" s="36"/>
      <c r="N14" s="25"/>
    </row>
    <row r="15" spans="2:18" ht="14.45" customHeight="1">
      <c r="B15" s="52"/>
      <c r="C15" s="49"/>
      <c r="D15" s="3" t="s">
        <v>27</v>
      </c>
      <c r="E15" s="3">
        <v>6050</v>
      </c>
      <c r="F15" s="3">
        <v>6050</v>
      </c>
      <c r="G15" s="3">
        <v>6050</v>
      </c>
      <c r="H15" s="3">
        <v>6050</v>
      </c>
      <c r="I15" s="3">
        <v>12100</v>
      </c>
      <c r="J15" s="3">
        <v>6050</v>
      </c>
      <c r="K15" s="3"/>
      <c r="L15" s="3"/>
      <c r="M15" s="37"/>
      <c r="N15" s="25"/>
      <c r="P15" s="8" t="s">
        <v>28</v>
      </c>
      <c r="Q15" s="9">
        <f>P16+(P16*0.1)</f>
        <v>0</v>
      </c>
    </row>
    <row r="16" spans="2:18" ht="14.45" customHeight="1">
      <c r="B16" s="52"/>
      <c r="C16" s="49"/>
      <c r="D16" s="3" t="s">
        <v>29</v>
      </c>
      <c r="E16" s="3"/>
      <c r="F16" s="3"/>
      <c r="G16" s="3"/>
      <c r="H16" s="3"/>
      <c r="I16" s="3"/>
      <c r="J16" s="3"/>
      <c r="K16" s="3">
        <v>38500</v>
      </c>
      <c r="L16" s="3"/>
      <c r="M16" s="36"/>
      <c r="N16" s="25"/>
      <c r="P16" s="10"/>
    </row>
    <row r="17" spans="2:16" ht="14.45" customHeight="1">
      <c r="B17" s="52"/>
      <c r="C17" s="49"/>
      <c r="D17" s="3" t="s">
        <v>30</v>
      </c>
      <c r="E17" s="3"/>
      <c r="F17" s="3"/>
      <c r="G17" s="3">
        <v>15400</v>
      </c>
      <c r="H17" s="3"/>
      <c r="I17" s="3"/>
      <c r="J17" s="3"/>
      <c r="K17" s="3"/>
      <c r="L17" s="3"/>
      <c r="M17" s="36"/>
      <c r="N17" s="25"/>
      <c r="P17" s="19"/>
    </row>
    <row r="18" spans="2:16" ht="14.45" customHeight="1" thickBot="1">
      <c r="B18" s="53"/>
      <c r="C18" s="50"/>
      <c r="D18" s="26"/>
      <c r="E18" s="26"/>
      <c r="F18" s="26"/>
      <c r="G18" s="26"/>
      <c r="H18" s="26"/>
      <c r="I18" s="26"/>
      <c r="J18" s="26"/>
      <c r="K18" s="26"/>
      <c r="L18" s="26"/>
      <c r="M18" s="38"/>
      <c r="N18" s="29"/>
    </row>
    <row r="19" spans="2:16" ht="14.45" customHeight="1">
      <c r="B19" s="51">
        <v>45628</v>
      </c>
      <c r="C19" s="63" t="s">
        <v>31</v>
      </c>
      <c r="D19" s="12" t="s">
        <v>32</v>
      </c>
      <c r="E19" s="12">
        <v>35200</v>
      </c>
      <c r="F19" s="12">
        <v>35200</v>
      </c>
      <c r="G19" s="12">
        <v>35200</v>
      </c>
      <c r="H19" s="12">
        <v>35200</v>
      </c>
      <c r="I19" s="12">
        <v>35200</v>
      </c>
      <c r="J19" s="12">
        <v>35200</v>
      </c>
      <c r="K19" s="12">
        <v>35200</v>
      </c>
      <c r="L19" s="12">
        <v>35200</v>
      </c>
      <c r="M19" s="33">
        <v>70400</v>
      </c>
      <c r="N19" s="20"/>
    </row>
    <row r="20" spans="2:16" ht="14.45" customHeight="1">
      <c r="B20" s="61"/>
      <c r="C20" s="64"/>
      <c r="D20" s="12" t="s">
        <v>33</v>
      </c>
      <c r="E20" s="12"/>
      <c r="F20" s="12"/>
      <c r="G20" s="12"/>
      <c r="H20" s="12"/>
      <c r="I20" s="12">
        <v>7700</v>
      </c>
      <c r="J20" s="12">
        <v>7700</v>
      </c>
      <c r="K20" s="12"/>
      <c r="L20" s="12">
        <v>7700</v>
      </c>
      <c r="M20" s="33">
        <v>7700</v>
      </c>
      <c r="N20" s="20"/>
    </row>
    <row r="21" spans="2:16" ht="14.45" customHeight="1">
      <c r="B21" s="61"/>
      <c r="C21" s="64"/>
      <c r="D21" s="12" t="s">
        <v>34</v>
      </c>
      <c r="E21" s="12">
        <v>4400</v>
      </c>
      <c r="F21" s="12">
        <v>4400</v>
      </c>
      <c r="G21" s="12">
        <v>4400</v>
      </c>
      <c r="H21" s="12">
        <v>4400</v>
      </c>
      <c r="I21" s="12"/>
      <c r="J21" s="12"/>
      <c r="K21" s="12">
        <v>4400</v>
      </c>
      <c r="L21" s="12"/>
      <c r="M21" s="33">
        <v>4400</v>
      </c>
      <c r="N21" s="20"/>
    </row>
    <row r="22" spans="2:16" ht="14.45" customHeight="1" thickBot="1">
      <c r="B22" s="61"/>
      <c r="C22" s="65"/>
      <c r="D22" s="21"/>
      <c r="E22" s="21"/>
      <c r="F22" s="21"/>
      <c r="G22" s="21"/>
      <c r="H22" s="21"/>
      <c r="I22" s="21"/>
      <c r="J22" s="21"/>
      <c r="K22" s="21"/>
      <c r="L22" s="21"/>
      <c r="M22" s="32"/>
      <c r="N22" s="28"/>
    </row>
    <row r="23" spans="2:16" ht="14.45" customHeight="1">
      <c r="B23" s="51">
        <v>45629</v>
      </c>
      <c r="C23" s="74" t="s">
        <v>35</v>
      </c>
      <c r="D23" s="12" t="s">
        <v>36</v>
      </c>
      <c r="E23" s="12">
        <v>24200</v>
      </c>
      <c r="F23" s="12">
        <v>24200</v>
      </c>
      <c r="G23" s="12">
        <v>24200</v>
      </c>
      <c r="H23" s="12">
        <v>24200</v>
      </c>
      <c r="I23" s="12">
        <v>24200</v>
      </c>
      <c r="J23" s="12">
        <v>24200</v>
      </c>
      <c r="K23" s="12">
        <v>24200</v>
      </c>
      <c r="L23" s="12">
        <v>24200</v>
      </c>
      <c r="M23" s="12">
        <v>24200</v>
      </c>
      <c r="N23" s="20"/>
    </row>
    <row r="24" spans="2:16" ht="14.45" customHeight="1">
      <c r="B24" s="52"/>
      <c r="C24" s="75"/>
      <c r="D24" s="12" t="s">
        <v>37</v>
      </c>
      <c r="E24" s="12"/>
      <c r="F24" s="12">
        <v>13200</v>
      </c>
      <c r="G24" s="12">
        <v>13200</v>
      </c>
      <c r="H24" s="12"/>
      <c r="I24" s="12"/>
      <c r="J24" s="12">
        <v>13200</v>
      </c>
      <c r="K24" s="12"/>
      <c r="L24" s="12"/>
      <c r="M24" s="33">
        <v>13200</v>
      </c>
      <c r="N24" s="20"/>
    </row>
    <row r="25" spans="2:16" ht="14.45" customHeight="1">
      <c r="B25" s="52"/>
      <c r="C25" s="75"/>
      <c r="D25" s="12" t="s">
        <v>38</v>
      </c>
      <c r="E25" s="12"/>
      <c r="F25" s="12">
        <v>13200</v>
      </c>
      <c r="G25" s="12">
        <v>13200</v>
      </c>
      <c r="H25" s="12"/>
      <c r="I25" s="12">
        <v>13200</v>
      </c>
      <c r="J25" s="12">
        <v>13200</v>
      </c>
      <c r="K25" s="12">
        <v>13200</v>
      </c>
      <c r="L25" s="12">
        <v>13200</v>
      </c>
      <c r="M25" s="33">
        <v>26400</v>
      </c>
      <c r="N25" s="20"/>
    </row>
    <row r="26" spans="2:16" ht="14.45" customHeight="1">
      <c r="B26" s="52"/>
      <c r="C26" s="75"/>
      <c r="D26" s="12" t="s">
        <v>39</v>
      </c>
      <c r="E26" s="12"/>
      <c r="F26" s="12">
        <v>2200</v>
      </c>
      <c r="G26" s="12">
        <v>2200</v>
      </c>
      <c r="H26" s="12">
        <v>2200</v>
      </c>
      <c r="I26" s="12">
        <v>2200</v>
      </c>
      <c r="J26" s="12">
        <v>2200</v>
      </c>
      <c r="K26" s="12">
        <v>2200</v>
      </c>
      <c r="L26" s="12"/>
      <c r="M26" s="33">
        <v>2200</v>
      </c>
      <c r="N26" s="20"/>
    </row>
    <row r="27" spans="2:16" ht="14.45" customHeight="1">
      <c r="B27" s="52"/>
      <c r="C27" s="75"/>
      <c r="D27" s="12" t="s">
        <v>40</v>
      </c>
      <c r="E27" s="12"/>
      <c r="F27" s="12"/>
      <c r="G27" s="12"/>
      <c r="H27" s="12"/>
      <c r="I27" s="12"/>
      <c r="J27" s="12">
        <v>2200</v>
      </c>
      <c r="K27" s="12"/>
      <c r="L27" s="12">
        <v>2200</v>
      </c>
      <c r="M27" s="33"/>
      <c r="N27" s="20"/>
    </row>
    <row r="28" spans="2:16" ht="14.45" customHeight="1">
      <c r="B28" s="61"/>
      <c r="C28" s="75"/>
      <c r="D28" s="3" t="s">
        <v>41</v>
      </c>
      <c r="E28" s="3">
        <v>7700</v>
      </c>
      <c r="F28" s="3"/>
      <c r="G28" s="3"/>
      <c r="H28" s="3"/>
      <c r="I28" s="3"/>
      <c r="J28" s="3">
        <v>7700</v>
      </c>
      <c r="K28" s="3"/>
      <c r="L28" s="12">
        <v>7700</v>
      </c>
      <c r="M28" s="34"/>
      <c r="N28" s="20"/>
    </row>
    <row r="29" spans="2:16" ht="14.45" customHeight="1">
      <c r="B29" s="61"/>
      <c r="C29" s="75"/>
      <c r="D29" s="3" t="s">
        <v>42</v>
      </c>
      <c r="E29" s="3"/>
      <c r="F29" s="3">
        <v>11000</v>
      </c>
      <c r="G29" s="3"/>
      <c r="H29" s="3"/>
      <c r="I29" s="3"/>
      <c r="J29" s="3">
        <v>5500</v>
      </c>
      <c r="K29" s="3"/>
      <c r="L29" s="12">
        <v>5500</v>
      </c>
      <c r="M29" s="34"/>
      <c r="N29" s="20"/>
    </row>
    <row r="30" spans="2:16" ht="14.45" customHeight="1">
      <c r="B30" s="61"/>
      <c r="C30" s="75"/>
      <c r="D30" s="3" t="s">
        <v>43</v>
      </c>
      <c r="E30" s="3">
        <v>7700</v>
      </c>
      <c r="F30" s="3">
        <v>7700</v>
      </c>
      <c r="G30" s="3">
        <v>7700</v>
      </c>
      <c r="H30" s="3">
        <v>7700</v>
      </c>
      <c r="I30" s="3">
        <v>15400</v>
      </c>
      <c r="J30" s="3">
        <v>7700</v>
      </c>
      <c r="K30" s="3">
        <v>7700</v>
      </c>
      <c r="L30" s="12">
        <v>7700</v>
      </c>
      <c r="M30" s="34">
        <v>15400</v>
      </c>
      <c r="N30" s="20"/>
    </row>
    <row r="31" spans="2:16" ht="14.45" customHeight="1">
      <c r="B31" s="61"/>
      <c r="C31" s="75"/>
      <c r="D31" s="3" t="s">
        <v>44</v>
      </c>
      <c r="E31" s="3"/>
      <c r="F31" s="3">
        <v>14300</v>
      </c>
      <c r="G31" s="3"/>
      <c r="H31" s="3">
        <v>14300</v>
      </c>
      <c r="I31" s="3"/>
      <c r="J31" s="3"/>
      <c r="K31" s="3"/>
      <c r="L31" s="12"/>
      <c r="M31" s="34"/>
      <c r="N31" s="20"/>
    </row>
    <row r="32" spans="2:16" ht="14.45" customHeight="1">
      <c r="B32" s="61"/>
      <c r="C32" s="75"/>
      <c r="D32" s="3" t="s">
        <v>45</v>
      </c>
      <c r="E32" s="3"/>
      <c r="F32" s="3"/>
      <c r="G32" s="3"/>
      <c r="H32" s="3"/>
      <c r="I32" s="3">
        <v>3300</v>
      </c>
      <c r="J32" s="3">
        <v>3300</v>
      </c>
      <c r="K32" s="3"/>
      <c r="L32" s="3">
        <v>3300</v>
      </c>
      <c r="M32" s="34"/>
      <c r="N32" s="20"/>
    </row>
    <row r="33" spans="2:15" ht="14.45" customHeight="1">
      <c r="B33" s="61"/>
      <c r="C33" s="75"/>
      <c r="D33" s="3" t="s">
        <v>46</v>
      </c>
      <c r="E33" s="3"/>
      <c r="F33" s="3"/>
      <c r="G33" s="3">
        <v>3300</v>
      </c>
      <c r="H33" s="3"/>
      <c r="I33" s="3"/>
      <c r="J33" s="3"/>
      <c r="K33" s="3">
        <v>3300</v>
      </c>
      <c r="L33" s="3"/>
      <c r="M33" s="34"/>
      <c r="N33" s="20"/>
    </row>
    <row r="34" spans="2:15" ht="14.45" customHeight="1">
      <c r="B34" s="61"/>
      <c r="C34" s="75"/>
      <c r="D34" s="3" t="s">
        <v>47</v>
      </c>
      <c r="E34" s="3">
        <v>7700</v>
      </c>
      <c r="F34" s="3">
        <v>7700</v>
      </c>
      <c r="G34" s="3"/>
      <c r="H34" s="3"/>
      <c r="I34" s="3"/>
      <c r="J34" s="3"/>
      <c r="K34" s="3"/>
      <c r="L34" s="3"/>
      <c r="M34" s="34">
        <v>15400</v>
      </c>
      <c r="N34" s="20"/>
    </row>
    <row r="35" spans="2:15" ht="14.45" customHeight="1">
      <c r="B35" s="61"/>
      <c r="C35" s="75"/>
      <c r="D35" s="3" t="s">
        <v>48</v>
      </c>
      <c r="E35" s="3">
        <f>7700/8</f>
        <v>962.5</v>
      </c>
      <c r="F35" s="3">
        <f t="shared" ref="F35:L35" si="0">7700/8</f>
        <v>962.5</v>
      </c>
      <c r="G35" s="3">
        <f t="shared" si="0"/>
        <v>962.5</v>
      </c>
      <c r="H35" s="3">
        <f t="shared" si="0"/>
        <v>962.5</v>
      </c>
      <c r="I35" s="3">
        <f t="shared" si="0"/>
        <v>962.5</v>
      </c>
      <c r="J35" s="3">
        <f t="shared" si="0"/>
        <v>962.5</v>
      </c>
      <c r="K35" s="3">
        <f t="shared" si="0"/>
        <v>962.5</v>
      </c>
      <c r="L35" s="3">
        <f t="shared" si="0"/>
        <v>962.5</v>
      </c>
      <c r="M35" s="34"/>
      <c r="N35" s="20"/>
    </row>
    <row r="36" spans="2:15" ht="14.45" customHeight="1">
      <c r="B36" s="61"/>
      <c r="C36" s="75"/>
      <c r="D36" s="3" t="s">
        <v>49</v>
      </c>
      <c r="E36" s="3">
        <f>13200/8</f>
        <v>1650</v>
      </c>
      <c r="F36" s="3">
        <f t="shared" ref="F36:L36" si="1">13200/8</f>
        <v>1650</v>
      </c>
      <c r="G36" s="3">
        <f t="shared" si="1"/>
        <v>1650</v>
      </c>
      <c r="H36" s="3">
        <f t="shared" si="1"/>
        <v>1650</v>
      </c>
      <c r="I36" s="3">
        <f t="shared" si="1"/>
        <v>1650</v>
      </c>
      <c r="J36" s="3">
        <f t="shared" si="1"/>
        <v>1650</v>
      </c>
      <c r="K36" s="3">
        <f t="shared" si="1"/>
        <v>1650</v>
      </c>
      <c r="L36" s="3">
        <f t="shared" si="1"/>
        <v>1650</v>
      </c>
      <c r="M36" s="34"/>
      <c r="N36" s="20"/>
    </row>
    <row r="37" spans="2:15" ht="14.45" customHeight="1" thickBot="1">
      <c r="B37" s="62"/>
      <c r="C37" s="7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</row>
    <row r="38" spans="2:15" ht="14.45" customHeight="1">
      <c r="B38" s="51">
        <v>45630</v>
      </c>
      <c r="C38" s="66" t="s">
        <v>50</v>
      </c>
      <c r="D38" s="12" t="s">
        <v>51</v>
      </c>
      <c r="E38" s="12"/>
      <c r="F38" s="12"/>
      <c r="G38" s="12"/>
      <c r="H38" s="12"/>
      <c r="I38" s="12"/>
      <c r="J38" s="12"/>
      <c r="K38" s="12"/>
      <c r="L38" s="12"/>
      <c r="M38" s="12">
        <v>32000</v>
      </c>
      <c r="N38" s="20"/>
      <c r="O38" s="30"/>
    </row>
    <row r="39" spans="2:15" ht="14.45" customHeight="1">
      <c r="B39" s="52"/>
      <c r="C39" s="67"/>
      <c r="D39" s="3" t="s">
        <v>52</v>
      </c>
      <c r="E39" s="3">
        <v>38000</v>
      </c>
      <c r="F39" s="3">
        <v>38000</v>
      </c>
      <c r="G39" s="3"/>
      <c r="H39" s="3"/>
      <c r="I39" s="3">
        <v>38000</v>
      </c>
      <c r="J39" s="3">
        <v>38000</v>
      </c>
      <c r="K39" s="3"/>
      <c r="L39" s="3">
        <v>38000</v>
      </c>
      <c r="M39" s="3"/>
      <c r="N39" s="20"/>
    </row>
    <row r="40" spans="2:15" ht="14.45" customHeight="1">
      <c r="B40" s="52"/>
      <c r="C40" s="67"/>
      <c r="D40" s="3" t="s">
        <v>53</v>
      </c>
      <c r="E40" s="3"/>
      <c r="F40" s="3"/>
      <c r="G40" s="3">
        <v>38000</v>
      </c>
      <c r="H40" s="3">
        <v>38000</v>
      </c>
      <c r="I40" s="3"/>
      <c r="J40" s="3"/>
      <c r="K40" s="3"/>
      <c r="L40" s="3"/>
      <c r="M40" s="3"/>
      <c r="N40" s="20"/>
    </row>
    <row r="41" spans="2:15" ht="14.45" customHeight="1">
      <c r="B41" s="52"/>
      <c r="C41" s="67"/>
      <c r="D41" s="3" t="s">
        <v>54</v>
      </c>
      <c r="E41" s="3"/>
      <c r="F41" s="3"/>
      <c r="G41" s="3"/>
      <c r="H41" s="3"/>
      <c r="I41" s="3"/>
      <c r="J41" s="3"/>
      <c r="K41" s="3">
        <v>29500</v>
      </c>
      <c r="L41" s="3"/>
      <c r="M41" s="3"/>
      <c r="N41" s="20"/>
    </row>
    <row r="42" spans="2:15" ht="14.45" customHeight="1">
      <c r="B42" s="52"/>
      <c r="C42" s="67"/>
      <c r="D42" s="3" t="s">
        <v>55</v>
      </c>
      <c r="E42" s="3"/>
      <c r="F42" s="3"/>
      <c r="G42" s="3"/>
      <c r="H42" s="3"/>
      <c r="I42" s="3"/>
      <c r="J42" s="3"/>
      <c r="K42" s="3"/>
      <c r="L42" s="3"/>
      <c r="M42" s="3">
        <v>35000</v>
      </c>
      <c r="N42" s="20"/>
    </row>
    <row r="43" spans="2:15" ht="14.45" customHeight="1">
      <c r="B43" s="52"/>
      <c r="C43" s="67"/>
      <c r="D43" s="3" t="s">
        <v>27</v>
      </c>
      <c r="E43" s="3">
        <v>6999</v>
      </c>
      <c r="F43" s="3">
        <v>6999</v>
      </c>
      <c r="G43" s="3">
        <v>6999</v>
      </c>
      <c r="H43" s="3">
        <v>6999</v>
      </c>
      <c r="I43" s="3">
        <v>6999</v>
      </c>
      <c r="J43" s="3">
        <v>6999</v>
      </c>
      <c r="K43" s="3">
        <v>6999</v>
      </c>
      <c r="L43" s="3">
        <v>6999</v>
      </c>
      <c r="M43" s="3">
        <v>13998</v>
      </c>
      <c r="N43" s="20"/>
    </row>
    <row r="44" spans="2:15" ht="14.45" customHeight="1">
      <c r="B44" s="52"/>
      <c r="C44" s="67"/>
      <c r="D44" s="3" t="s">
        <v>56</v>
      </c>
      <c r="E44" s="3">
        <v>6001</v>
      </c>
      <c r="F44" s="3">
        <v>6001</v>
      </c>
      <c r="G44" s="3">
        <v>6001</v>
      </c>
      <c r="H44" s="3">
        <v>6001</v>
      </c>
      <c r="I44" s="3"/>
      <c r="J44" s="3"/>
      <c r="K44" s="3">
        <v>6001</v>
      </c>
      <c r="L44" s="3"/>
      <c r="M44" s="3"/>
      <c r="N44" s="20"/>
    </row>
    <row r="45" spans="2:15" ht="14.45" customHeight="1">
      <c r="B45" s="52"/>
      <c r="C45" s="67"/>
      <c r="D45" s="3" t="s">
        <v>57</v>
      </c>
      <c r="E45" s="3"/>
      <c r="F45" s="3"/>
      <c r="G45" s="3"/>
      <c r="H45" s="3"/>
      <c r="I45" s="3">
        <v>7000</v>
      </c>
      <c r="J45" s="3">
        <v>7000</v>
      </c>
      <c r="K45" s="3"/>
      <c r="L45" s="3">
        <v>7000</v>
      </c>
      <c r="M45" s="3">
        <v>7000</v>
      </c>
      <c r="N45" s="20"/>
    </row>
    <row r="46" spans="2:15" ht="14.45" customHeight="1">
      <c r="B46" s="52"/>
      <c r="C46" s="67"/>
      <c r="D46" s="3" t="s">
        <v>58</v>
      </c>
      <c r="E46" s="3"/>
      <c r="F46" s="3"/>
      <c r="G46" s="3"/>
      <c r="H46" s="3"/>
      <c r="I46" s="3"/>
      <c r="J46" s="3"/>
      <c r="K46" s="3"/>
      <c r="L46" s="3"/>
      <c r="M46" s="3">
        <v>7999</v>
      </c>
      <c r="N46" s="20"/>
    </row>
    <row r="47" spans="2:15" ht="14.45" customHeight="1">
      <c r="B47" s="52"/>
      <c r="C47" s="67"/>
      <c r="D47" s="3" t="s">
        <v>59</v>
      </c>
      <c r="E47" s="3">
        <v>4000</v>
      </c>
      <c r="F47" s="3">
        <v>4000</v>
      </c>
      <c r="G47" s="3">
        <v>4000</v>
      </c>
      <c r="H47" s="3">
        <v>4000</v>
      </c>
      <c r="I47" s="3">
        <v>4000</v>
      </c>
      <c r="J47" s="3">
        <v>4000</v>
      </c>
      <c r="K47" s="3"/>
      <c r="L47" s="3">
        <v>4000</v>
      </c>
      <c r="M47" s="3"/>
      <c r="N47" s="20"/>
    </row>
    <row r="48" spans="2:15" ht="14.45" customHeight="1">
      <c r="B48" s="52"/>
      <c r="C48" s="67"/>
      <c r="D48" s="3" t="s">
        <v>60</v>
      </c>
      <c r="E48" s="3"/>
      <c r="F48" s="3"/>
      <c r="G48" s="3"/>
      <c r="H48" s="3"/>
      <c r="I48" s="3"/>
      <c r="J48" s="3">
        <v>12100</v>
      </c>
      <c r="K48" s="3"/>
      <c r="L48" s="3"/>
      <c r="M48" s="3"/>
      <c r="N48" s="11"/>
    </row>
    <row r="49" spans="2:15" ht="15" customHeight="1">
      <c r="B49" s="53"/>
      <c r="C49" s="68"/>
      <c r="D49" s="3"/>
      <c r="E49" s="3"/>
      <c r="F49" s="3"/>
      <c r="G49" s="3"/>
      <c r="H49" s="3"/>
      <c r="I49" s="3"/>
      <c r="J49" s="3"/>
      <c r="K49" s="3"/>
      <c r="L49" s="3"/>
      <c r="M49" s="3"/>
      <c r="N49" s="11"/>
    </row>
    <row r="50" spans="2:15" ht="14.45" customHeight="1">
      <c r="B50" s="51">
        <v>45631</v>
      </c>
      <c r="C50" s="71" t="s">
        <v>61</v>
      </c>
      <c r="D50" s="12" t="s">
        <v>62</v>
      </c>
      <c r="E50" s="12">
        <v>26000</v>
      </c>
      <c r="F50" s="12">
        <v>26000</v>
      </c>
      <c r="G50" s="12">
        <v>26000</v>
      </c>
      <c r="H50" s="12">
        <v>26000</v>
      </c>
      <c r="I50" s="12">
        <v>52000</v>
      </c>
      <c r="J50" s="12">
        <v>52000</v>
      </c>
      <c r="K50" s="12">
        <v>26000</v>
      </c>
      <c r="L50" s="12">
        <v>26000</v>
      </c>
      <c r="M50" s="12">
        <v>52000</v>
      </c>
      <c r="N50" s="20"/>
      <c r="O50" s="30"/>
    </row>
    <row r="51" spans="2:15" ht="14.45" customHeight="1">
      <c r="B51" s="52"/>
      <c r="C51" s="72"/>
      <c r="D51" s="3" t="s">
        <v>33</v>
      </c>
      <c r="E51" s="3"/>
      <c r="F51" s="3"/>
      <c r="G51" s="3"/>
      <c r="H51" s="3">
        <v>7000</v>
      </c>
      <c r="I51" s="3">
        <v>7000</v>
      </c>
      <c r="J51" s="3">
        <v>7000</v>
      </c>
      <c r="K51" s="3"/>
      <c r="L51" s="3">
        <v>7000</v>
      </c>
      <c r="M51" s="3">
        <v>14000</v>
      </c>
      <c r="N51" s="20"/>
    </row>
    <row r="52" spans="2:15" ht="14.45" customHeight="1">
      <c r="B52" s="52"/>
      <c r="C52" s="72"/>
      <c r="D52" s="3" t="s">
        <v>63</v>
      </c>
      <c r="E52" s="3">
        <v>5000</v>
      </c>
      <c r="F52" s="3">
        <v>5000</v>
      </c>
      <c r="G52" s="3">
        <v>5000</v>
      </c>
      <c r="H52" s="3"/>
      <c r="I52" s="3"/>
      <c r="J52" s="3"/>
      <c r="K52" s="3">
        <v>5000</v>
      </c>
      <c r="L52" s="3"/>
      <c r="M52" s="3"/>
      <c r="N52" s="20"/>
    </row>
    <row r="53" spans="2:15" ht="14.45" customHeight="1">
      <c r="B53" s="52"/>
      <c r="C53" s="72"/>
      <c r="D53" s="3" t="s">
        <v>64</v>
      </c>
      <c r="E53" s="3">
        <v>4000</v>
      </c>
      <c r="F53" s="3">
        <v>4000</v>
      </c>
      <c r="G53" s="3">
        <v>4000</v>
      </c>
      <c r="H53" s="3">
        <v>4000</v>
      </c>
      <c r="I53" s="3">
        <v>4000</v>
      </c>
      <c r="J53" s="3">
        <v>4000</v>
      </c>
      <c r="K53" s="3"/>
      <c r="L53" s="3">
        <v>4000</v>
      </c>
      <c r="M53" s="3"/>
      <c r="N53" s="20"/>
    </row>
    <row r="54" spans="2:15" ht="15" customHeight="1">
      <c r="B54" s="53"/>
      <c r="C54" s="73"/>
      <c r="D54" s="3"/>
      <c r="E54" s="3"/>
      <c r="F54" s="3"/>
      <c r="G54" s="3"/>
      <c r="H54" s="3"/>
      <c r="I54" s="3"/>
      <c r="J54" s="3"/>
      <c r="K54" s="3"/>
      <c r="L54" s="3"/>
      <c r="M54" s="3"/>
      <c r="N54" s="11"/>
    </row>
    <row r="55" spans="2:15" ht="14.45" customHeight="1">
      <c r="B55" s="51">
        <v>45632</v>
      </c>
      <c r="C55" s="63" t="s">
        <v>65</v>
      </c>
      <c r="D55" s="12" t="s">
        <v>66</v>
      </c>
      <c r="E55" s="12">
        <v>47300</v>
      </c>
      <c r="F55" s="12">
        <v>47300</v>
      </c>
      <c r="G55" s="12">
        <v>47300</v>
      </c>
      <c r="H55" s="12">
        <v>47300</v>
      </c>
      <c r="I55" s="12">
        <v>47300</v>
      </c>
      <c r="J55" s="12">
        <v>47300</v>
      </c>
      <c r="K55" s="12">
        <v>47300</v>
      </c>
      <c r="L55" s="12">
        <v>47300</v>
      </c>
      <c r="M55" s="12"/>
      <c r="N55" s="20"/>
      <c r="O55" s="30"/>
    </row>
    <row r="56" spans="2:15" ht="14.45" customHeight="1">
      <c r="B56" s="52"/>
      <c r="C56" s="64"/>
      <c r="D56" s="3" t="s">
        <v>67</v>
      </c>
      <c r="E56" s="3"/>
      <c r="F56" s="3"/>
      <c r="G56" s="3"/>
      <c r="H56" s="3"/>
      <c r="I56" s="3"/>
      <c r="J56" s="3"/>
      <c r="K56" s="3"/>
      <c r="L56" s="3"/>
      <c r="M56" s="3">
        <v>83600</v>
      </c>
      <c r="N56" s="20"/>
    </row>
    <row r="57" spans="2:15" ht="14.45" customHeight="1">
      <c r="B57" s="52"/>
      <c r="C57" s="64"/>
      <c r="D57" s="3" t="s">
        <v>68</v>
      </c>
      <c r="E57" s="3">
        <f>15400/8</f>
        <v>1925</v>
      </c>
      <c r="F57" s="3">
        <f t="shared" ref="F57:L57" si="2">15400/8</f>
        <v>1925</v>
      </c>
      <c r="G57" s="3">
        <f t="shared" si="2"/>
        <v>1925</v>
      </c>
      <c r="H57" s="3">
        <f t="shared" si="2"/>
        <v>1925</v>
      </c>
      <c r="I57" s="3">
        <f t="shared" si="2"/>
        <v>1925</v>
      </c>
      <c r="J57" s="3">
        <f t="shared" si="2"/>
        <v>1925</v>
      </c>
      <c r="K57" s="3">
        <f t="shared" si="2"/>
        <v>1925</v>
      </c>
      <c r="L57" s="3">
        <f t="shared" si="2"/>
        <v>1925</v>
      </c>
      <c r="M57" s="3"/>
      <c r="N57" s="20"/>
    </row>
    <row r="58" spans="2:15" ht="14.45" customHeight="1">
      <c r="B58" s="52"/>
      <c r="C58" s="64"/>
      <c r="D58" s="3" t="s">
        <v>63</v>
      </c>
      <c r="E58" s="3">
        <v>8800</v>
      </c>
      <c r="F58" s="3">
        <v>8800</v>
      </c>
      <c r="G58" s="3">
        <v>8800</v>
      </c>
      <c r="H58" s="3">
        <v>8800</v>
      </c>
      <c r="I58" s="3">
        <v>8800</v>
      </c>
      <c r="J58" s="3">
        <v>8800</v>
      </c>
      <c r="K58" s="3">
        <v>8800</v>
      </c>
      <c r="L58" s="3">
        <v>8800</v>
      </c>
      <c r="M58" s="3"/>
      <c r="N58" s="20"/>
    </row>
    <row r="59" spans="2:15" ht="15" customHeight="1">
      <c r="B59" s="53"/>
      <c r="C59" s="65"/>
      <c r="D59" s="3" t="s">
        <v>69</v>
      </c>
      <c r="E59" s="3"/>
      <c r="F59" s="3"/>
      <c r="G59" s="3"/>
      <c r="H59" s="3"/>
      <c r="I59" s="3"/>
      <c r="J59" s="3"/>
      <c r="K59" s="3"/>
      <c r="L59" s="3"/>
      <c r="M59" s="3">
        <v>17600</v>
      </c>
      <c r="N59" s="11"/>
    </row>
    <row r="60" spans="2:15" ht="14.45" customHeight="1">
      <c r="B60" s="51">
        <v>45633</v>
      </c>
      <c r="C60" s="69" t="s">
        <v>70</v>
      </c>
      <c r="D60" s="12" t="s">
        <v>71</v>
      </c>
      <c r="E60" s="12"/>
      <c r="F60" s="12"/>
      <c r="G60" s="12"/>
      <c r="H60" s="12"/>
      <c r="I60" s="12"/>
      <c r="J60" s="12"/>
      <c r="K60" s="12"/>
      <c r="L60" s="12"/>
      <c r="M60" s="12"/>
      <c r="N60" s="20"/>
      <c r="O60" s="30"/>
    </row>
    <row r="61" spans="2:15" ht="14.45" customHeight="1">
      <c r="B61" s="52"/>
      <c r="C61" s="70"/>
      <c r="D61" s="3" t="s">
        <v>72</v>
      </c>
      <c r="E61" s="3"/>
      <c r="F61" s="3"/>
      <c r="G61" s="3"/>
      <c r="H61" s="3"/>
      <c r="I61" s="3"/>
      <c r="J61" s="3"/>
      <c r="K61" s="3"/>
      <c r="L61" s="3"/>
      <c r="M61" s="3"/>
      <c r="N61" s="20"/>
    </row>
    <row r="62" spans="2:15" ht="14.45" customHeight="1">
      <c r="B62" s="52"/>
      <c r="C62" s="70"/>
      <c r="D62" s="3" t="s">
        <v>73</v>
      </c>
      <c r="E62" s="3"/>
      <c r="F62" s="3"/>
      <c r="G62" s="3"/>
      <c r="H62" s="3"/>
      <c r="I62" s="3"/>
      <c r="J62" s="3"/>
      <c r="K62" s="3"/>
      <c r="L62" s="3"/>
      <c r="M62" s="3"/>
      <c r="N62" s="20"/>
    </row>
    <row r="63" spans="2:15" ht="14.45" customHeight="1">
      <c r="B63" s="52"/>
      <c r="C63" s="70"/>
      <c r="D63" s="3">
        <v>180000</v>
      </c>
      <c r="E63" s="3">
        <f>$D$63/5</f>
        <v>36000</v>
      </c>
      <c r="F63" s="3">
        <f t="shared" ref="F63:I63" si="3">$D$63/5</f>
        <v>36000</v>
      </c>
      <c r="G63" s="3">
        <f t="shared" si="3"/>
        <v>36000</v>
      </c>
      <c r="H63" s="3">
        <f t="shared" si="3"/>
        <v>36000</v>
      </c>
      <c r="I63" s="3">
        <f t="shared" si="3"/>
        <v>36000</v>
      </c>
      <c r="J63" s="3"/>
      <c r="K63" s="3"/>
      <c r="L63" s="3"/>
      <c r="M63" s="3"/>
      <c r="N63" s="20"/>
    </row>
    <row r="64" spans="2:15" ht="15" customHeight="1">
      <c r="B64" s="52"/>
      <c r="C64" s="70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6"/>
    </row>
    <row r="65" spans="2:14" ht="15" customHeight="1">
      <c r="B65" s="42">
        <v>45634</v>
      </c>
      <c r="C65" s="47" t="s">
        <v>74</v>
      </c>
      <c r="D65" s="43" t="s">
        <v>75</v>
      </c>
      <c r="E65" s="43">
        <v>20000</v>
      </c>
      <c r="F65" s="43">
        <v>20000</v>
      </c>
      <c r="G65" s="43">
        <v>20000</v>
      </c>
      <c r="H65" s="43">
        <v>20000</v>
      </c>
      <c r="I65" s="43">
        <v>20000</v>
      </c>
      <c r="J65" s="43">
        <v>20000</v>
      </c>
      <c r="K65" s="43">
        <v>20000</v>
      </c>
      <c r="L65" s="43">
        <v>20000</v>
      </c>
      <c r="M65" s="43">
        <v>40000</v>
      </c>
      <c r="N65" s="44"/>
    </row>
    <row r="66" spans="2:14" ht="15" customHeight="1">
      <c r="B66" s="39"/>
      <c r="C66" s="41"/>
      <c r="N66" s="40"/>
    </row>
    <row r="69" spans="2:14">
      <c r="E69" s="22" t="s">
        <v>3</v>
      </c>
      <c r="F69" s="22" t="s">
        <v>4</v>
      </c>
      <c r="G69" s="22" t="s">
        <v>5</v>
      </c>
      <c r="H69" s="22" t="s">
        <v>6</v>
      </c>
      <c r="I69" s="22" t="s">
        <v>7</v>
      </c>
      <c r="J69" s="22" t="s">
        <v>8</v>
      </c>
      <c r="K69" s="22" t="s">
        <v>9</v>
      </c>
      <c r="L69" s="22" t="s">
        <v>10</v>
      </c>
      <c r="M69" s="22" t="s">
        <v>11</v>
      </c>
    </row>
    <row r="70" spans="2:14" ht="15" customHeight="1">
      <c r="B70" s="54"/>
      <c r="C70" s="57" t="s">
        <v>76</v>
      </c>
      <c r="D70" s="58"/>
      <c r="E70" s="15">
        <f>SUM(E5:E65)</f>
        <v>336987.5</v>
      </c>
      <c r="F70" s="15">
        <f t="shared" ref="F70:M70" si="4">SUM(F5:F65)</f>
        <v>430787.5</v>
      </c>
      <c r="G70" s="15">
        <f t="shared" si="4"/>
        <v>360087.5</v>
      </c>
      <c r="H70" s="15">
        <f t="shared" si="4"/>
        <v>364837.5</v>
      </c>
      <c r="I70" s="15">
        <f t="shared" si="4"/>
        <v>377536.5</v>
      </c>
      <c r="J70" s="15">
        <f t="shared" si="4"/>
        <v>410836.5</v>
      </c>
      <c r="K70" s="15">
        <f t="shared" si="4"/>
        <v>290537.5</v>
      </c>
      <c r="L70" s="15">
        <f t="shared" si="4"/>
        <v>323236.5</v>
      </c>
      <c r="M70" s="15">
        <f t="shared" si="4"/>
        <v>482497</v>
      </c>
      <c r="N70" s="4">
        <v>0</v>
      </c>
    </row>
    <row r="71" spans="2:14" ht="15" customHeight="1">
      <c r="B71" s="55"/>
      <c r="C71" s="57" t="s">
        <v>77</v>
      </c>
      <c r="D71" s="58"/>
      <c r="E71" s="15">
        <f>$M$70/8</f>
        <v>60312.125</v>
      </c>
      <c r="F71" s="15">
        <f t="shared" ref="F71:L71" si="5">$M$70/8</f>
        <v>60312.125</v>
      </c>
      <c r="G71" s="15">
        <f t="shared" si="5"/>
        <v>60312.125</v>
      </c>
      <c r="H71" s="15">
        <f t="shared" si="5"/>
        <v>60312.125</v>
      </c>
      <c r="I71" s="15">
        <f t="shared" si="5"/>
        <v>60312.125</v>
      </c>
      <c r="J71" s="15">
        <f t="shared" si="5"/>
        <v>60312.125</v>
      </c>
      <c r="K71" s="15">
        <f t="shared" si="5"/>
        <v>60312.125</v>
      </c>
      <c r="L71" s="15">
        <f t="shared" si="5"/>
        <v>60312.125</v>
      </c>
      <c r="M71" s="13"/>
      <c r="N71" s="4">
        <v>0</v>
      </c>
    </row>
    <row r="72" spans="2:14" ht="15" customHeight="1">
      <c r="B72" s="55"/>
      <c r="C72" s="14"/>
      <c r="D72" s="15" t="s">
        <v>13</v>
      </c>
      <c r="E72" s="15"/>
      <c r="F72" s="15"/>
      <c r="G72" s="15"/>
      <c r="H72" s="15"/>
      <c r="I72" s="15"/>
      <c r="J72" s="15"/>
      <c r="K72" s="15"/>
      <c r="L72" s="15"/>
      <c r="M72" s="4"/>
      <c r="N72" s="11">
        <f>SUM(M72:M72)</f>
        <v>0</v>
      </c>
    </row>
    <row r="73" spans="2:14" ht="15" customHeight="1">
      <c r="B73" s="56"/>
      <c r="C73" s="59" t="s">
        <v>78</v>
      </c>
      <c r="D73" s="60"/>
      <c r="E73" s="31">
        <f>SUM(E70:E71)</f>
        <v>397299.625</v>
      </c>
      <c r="F73" s="31">
        <f t="shared" ref="F73:L73" si="6">SUM(F70:F71)</f>
        <v>491099.625</v>
      </c>
      <c r="G73" s="31">
        <f t="shared" si="6"/>
        <v>420399.625</v>
      </c>
      <c r="H73" s="31">
        <f t="shared" si="6"/>
        <v>425149.625</v>
      </c>
      <c r="I73" s="31">
        <f t="shared" si="6"/>
        <v>437848.625</v>
      </c>
      <c r="J73" s="31">
        <f t="shared" si="6"/>
        <v>471148.625</v>
      </c>
      <c r="K73" s="31">
        <f t="shared" si="6"/>
        <v>350849.625</v>
      </c>
      <c r="L73" s="31">
        <f t="shared" si="6"/>
        <v>383548.625</v>
      </c>
      <c r="M73" s="16"/>
      <c r="N73" s="16"/>
    </row>
    <row r="75" spans="2:14" ht="15.75" customHeight="1"/>
    <row r="76" spans="2:14" ht="15" customHeight="1"/>
  </sheetData>
  <mergeCells count="18">
    <mergeCell ref="C55:C59"/>
    <mergeCell ref="C23:C37"/>
    <mergeCell ref="C5:C18"/>
    <mergeCell ref="B5:B18"/>
    <mergeCell ref="B70:B73"/>
    <mergeCell ref="C70:D70"/>
    <mergeCell ref="C71:D71"/>
    <mergeCell ref="C73:D73"/>
    <mergeCell ref="B19:B22"/>
    <mergeCell ref="B23:B37"/>
    <mergeCell ref="C19:C22"/>
    <mergeCell ref="B38:B49"/>
    <mergeCell ref="C38:C49"/>
    <mergeCell ref="B60:B64"/>
    <mergeCell ref="C60:C64"/>
    <mergeCell ref="B50:B54"/>
    <mergeCell ref="C50:C54"/>
    <mergeCell ref="B55:B59"/>
  </mergeCell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109E-95FA-8641-AE6E-2D259953C4A0}">
  <dimension ref="B4:R75"/>
  <sheetViews>
    <sheetView showGridLines="0" zoomScaleNormal="100" workbookViewId="0">
      <pane ySplit="4" topLeftCell="A61" activePane="bottomLeft" state="frozen"/>
      <selection pane="bottomLeft" activeCell="J81" sqref="J81"/>
    </sheetView>
  </sheetViews>
  <sheetFormatPr defaultRowHeight="15"/>
  <cols>
    <col min="2" max="2" width="15.42578125" customWidth="1"/>
    <col min="3" max="3" width="15.42578125" bestFit="1" customWidth="1"/>
    <col min="4" max="4" width="27.7109375" bestFit="1" customWidth="1"/>
    <col min="5" max="12" width="16.5703125" customWidth="1"/>
    <col min="13" max="13" width="13.28515625" customWidth="1"/>
    <col min="14" max="14" width="12.7109375" bestFit="1" customWidth="1"/>
    <col min="16" max="16" width="19.140625" bestFit="1" customWidth="1"/>
    <col min="17" max="17" width="13.7109375" bestFit="1" customWidth="1"/>
    <col min="18" max="18" width="9.7109375" bestFit="1" customWidth="1"/>
  </cols>
  <sheetData>
    <row r="4" spans="2:18" ht="15.75" thickBot="1">
      <c r="B4" s="1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  <c r="I4" s="22" t="s">
        <v>7</v>
      </c>
      <c r="J4" s="22" t="s">
        <v>8</v>
      </c>
      <c r="K4" s="22" t="s">
        <v>9</v>
      </c>
      <c r="L4" s="22" t="s">
        <v>10</v>
      </c>
      <c r="M4" s="22" t="s">
        <v>11</v>
      </c>
      <c r="N4" s="22" t="s">
        <v>12</v>
      </c>
      <c r="Q4" s="2" t="s">
        <v>13</v>
      </c>
      <c r="R4" s="2" t="s">
        <v>14</v>
      </c>
    </row>
    <row r="5" spans="2:18" ht="14.45" customHeight="1">
      <c r="B5" s="51"/>
      <c r="C5" s="48"/>
      <c r="D5" s="23"/>
      <c r="E5" s="23"/>
      <c r="F5" s="23"/>
      <c r="G5" s="23"/>
      <c r="H5" s="23"/>
      <c r="I5" s="23"/>
      <c r="J5" s="23"/>
      <c r="K5" s="23"/>
      <c r="L5" s="23"/>
      <c r="M5" s="35"/>
      <c r="N5" s="24"/>
      <c r="P5" s="5"/>
      <c r="Q5" s="6"/>
      <c r="R5" s="7"/>
    </row>
    <row r="6" spans="2:18" ht="14.45" customHeight="1">
      <c r="B6" s="52"/>
      <c r="C6" s="49"/>
      <c r="D6" s="3"/>
      <c r="E6" s="3"/>
      <c r="F6" s="3"/>
      <c r="G6" s="3"/>
      <c r="H6" s="3"/>
      <c r="I6" s="3"/>
      <c r="J6" s="3"/>
      <c r="K6" s="3"/>
      <c r="L6" s="3"/>
      <c r="M6" s="36"/>
      <c r="N6" s="25"/>
      <c r="P6" s="17"/>
      <c r="Q6" s="6"/>
      <c r="R6" s="7"/>
    </row>
    <row r="7" spans="2:18" ht="14.45" customHeight="1">
      <c r="B7" s="52"/>
      <c r="C7" s="49"/>
      <c r="D7" s="3"/>
      <c r="E7" s="3"/>
      <c r="F7" s="3"/>
      <c r="G7" s="3"/>
      <c r="H7" s="3"/>
      <c r="I7" s="3"/>
      <c r="J7" s="3"/>
      <c r="K7" s="3"/>
      <c r="L7" s="3"/>
      <c r="M7" s="36"/>
      <c r="N7" s="25"/>
      <c r="P7" s="17"/>
      <c r="Q7" s="6"/>
      <c r="R7" s="7"/>
    </row>
    <row r="8" spans="2:18" ht="14.45" customHeight="1">
      <c r="B8" s="52"/>
      <c r="C8" s="49"/>
      <c r="D8" s="3"/>
      <c r="E8" s="3"/>
      <c r="F8" s="3"/>
      <c r="G8" s="3"/>
      <c r="H8" s="3"/>
      <c r="I8" s="3"/>
      <c r="J8" s="3"/>
      <c r="K8" s="3"/>
      <c r="L8" s="3"/>
      <c r="M8" s="36"/>
      <c r="N8" s="25"/>
      <c r="P8" s="17"/>
      <c r="Q8" s="6"/>
      <c r="R8" s="7"/>
    </row>
    <row r="9" spans="2:18" ht="14.45" customHeight="1">
      <c r="B9" s="52"/>
      <c r="C9" s="49"/>
      <c r="D9" s="3"/>
      <c r="E9" s="3"/>
      <c r="F9" s="3"/>
      <c r="G9" s="3"/>
      <c r="H9" s="3"/>
      <c r="I9" s="3"/>
      <c r="J9" s="3"/>
      <c r="K9" s="3"/>
      <c r="L9" s="3"/>
      <c r="M9" s="36"/>
      <c r="N9" s="25"/>
      <c r="P9" s="17"/>
      <c r="Q9" s="6"/>
      <c r="R9" s="7"/>
    </row>
    <row r="10" spans="2:18" ht="14.45" customHeight="1">
      <c r="B10" s="52"/>
      <c r="C10" s="49"/>
      <c r="D10" s="3"/>
      <c r="E10" s="3"/>
      <c r="F10" s="3"/>
      <c r="G10" s="3"/>
      <c r="H10" s="3"/>
      <c r="I10" s="3"/>
      <c r="J10" s="3"/>
      <c r="K10" s="3"/>
      <c r="L10" s="3"/>
      <c r="M10" s="36"/>
      <c r="N10" s="25"/>
      <c r="P10" s="17"/>
      <c r="Q10" s="6"/>
      <c r="R10" s="7"/>
    </row>
    <row r="11" spans="2:18" ht="14.45" customHeight="1">
      <c r="B11" s="52"/>
      <c r="C11" s="49"/>
      <c r="D11" s="3"/>
      <c r="E11" s="3"/>
      <c r="F11" s="3"/>
      <c r="G11" s="3"/>
      <c r="H11" s="3"/>
      <c r="I11" s="3"/>
      <c r="J11" s="3"/>
      <c r="K11" s="3"/>
      <c r="L11" s="3"/>
      <c r="M11" s="36"/>
      <c r="N11" s="25"/>
      <c r="P11" s="17"/>
      <c r="Q11" s="6"/>
      <c r="R11" s="7"/>
    </row>
    <row r="12" spans="2:18" ht="14.45" customHeight="1">
      <c r="B12" s="52"/>
      <c r="C12" s="49"/>
      <c r="D12" s="3"/>
      <c r="E12" s="3"/>
      <c r="F12" s="3"/>
      <c r="G12" s="3"/>
      <c r="H12" s="3"/>
      <c r="I12" s="3"/>
      <c r="J12" s="3"/>
      <c r="K12" s="3"/>
      <c r="L12" s="3"/>
      <c r="M12" s="36"/>
      <c r="N12" s="25"/>
      <c r="Q12" s="6"/>
      <c r="R12" s="7"/>
    </row>
    <row r="13" spans="2:18" ht="14.45" customHeight="1">
      <c r="B13" s="52"/>
      <c r="C13" s="49"/>
      <c r="D13" s="3"/>
      <c r="E13" s="3"/>
      <c r="F13" s="3"/>
      <c r="G13" s="3"/>
      <c r="H13" s="3"/>
      <c r="I13" s="3"/>
      <c r="J13" s="3"/>
      <c r="K13" s="3"/>
      <c r="L13" s="3"/>
      <c r="M13" s="37"/>
      <c r="N13" s="25"/>
    </row>
    <row r="14" spans="2:18" ht="14.45" customHeight="1">
      <c r="B14" s="52"/>
      <c r="C14" s="49"/>
      <c r="D14" s="18"/>
      <c r="E14" s="18"/>
      <c r="F14" s="18"/>
      <c r="G14" s="18"/>
      <c r="H14" s="18"/>
      <c r="I14" s="18"/>
      <c r="J14" s="18"/>
      <c r="K14" s="18"/>
      <c r="L14" s="18"/>
      <c r="M14" s="36"/>
      <c r="N14" s="25"/>
    </row>
    <row r="15" spans="2:18" ht="14.45" customHeight="1">
      <c r="B15" s="52"/>
      <c r="C15" s="49"/>
      <c r="D15" s="3"/>
      <c r="E15" s="3"/>
      <c r="F15" s="3"/>
      <c r="G15" s="3"/>
      <c r="H15" s="3"/>
      <c r="I15" s="3"/>
      <c r="J15" s="3"/>
      <c r="K15" s="3"/>
      <c r="L15" s="3"/>
      <c r="M15" s="37"/>
      <c r="N15" s="25"/>
      <c r="P15" s="8"/>
      <c r="Q15" s="9"/>
    </row>
    <row r="16" spans="2:18" ht="14.45" customHeight="1">
      <c r="B16" s="52"/>
      <c r="C16" s="49"/>
      <c r="D16" s="3"/>
      <c r="E16" s="3"/>
      <c r="F16" s="3"/>
      <c r="G16" s="3"/>
      <c r="H16" s="3"/>
      <c r="I16" s="3"/>
      <c r="J16" s="3"/>
      <c r="K16" s="3"/>
      <c r="L16" s="3"/>
      <c r="M16" s="36"/>
      <c r="N16" s="25"/>
      <c r="P16" s="10"/>
    </row>
    <row r="17" spans="2:16" ht="14.45" customHeight="1">
      <c r="B17" s="52"/>
      <c r="C17" s="49"/>
      <c r="D17" s="3"/>
      <c r="E17" s="3"/>
      <c r="F17" s="3"/>
      <c r="G17" s="3"/>
      <c r="H17" s="3"/>
      <c r="I17" s="3"/>
      <c r="J17" s="3"/>
      <c r="K17" s="3"/>
      <c r="L17" s="3"/>
      <c r="M17" s="36"/>
      <c r="N17" s="25"/>
      <c r="P17" s="19"/>
    </row>
    <row r="18" spans="2:16" ht="14.45" customHeight="1" thickBot="1">
      <c r="B18" s="53"/>
      <c r="C18" s="50"/>
      <c r="D18" s="26"/>
      <c r="E18" s="26"/>
      <c r="F18" s="26"/>
      <c r="G18" s="26"/>
      <c r="H18" s="26"/>
      <c r="I18" s="26"/>
      <c r="J18" s="26"/>
      <c r="K18" s="26"/>
      <c r="L18" s="26"/>
      <c r="M18" s="38"/>
      <c r="N18" s="29"/>
    </row>
    <row r="19" spans="2:16" ht="14.45" customHeight="1">
      <c r="B19" s="51"/>
      <c r="C19" s="63"/>
      <c r="D19" s="12"/>
      <c r="E19" s="12"/>
      <c r="F19" s="12"/>
      <c r="G19" s="12"/>
      <c r="H19" s="12"/>
      <c r="I19" s="12"/>
      <c r="J19" s="12"/>
      <c r="K19" s="12"/>
      <c r="L19" s="12"/>
      <c r="M19" s="33"/>
      <c r="N19" s="20"/>
    </row>
    <row r="20" spans="2:16" ht="14.45" customHeight="1">
      <c r="B20" s="61"/>
      <c r="C20" s="64"/>
      <c r="D20" s="12"/>
      <c r="E20" s="12"/>
      <c r="F20" s="12"/>
      <c r="G20" s="12"/>
      <c r="H20" s="12"/>
      <c r="I20" s="12"/>
      <c r="J20" s="12"/>
      <c r="K20" s="12"/>
      <c r="L20" s="12"/>
      <c r="M20" s="33"/>
      <c r="N20" s="20"/>
    </row>
    <row r="21" spans="2:16" ht="14.45" customHeight="1">
      <c r="B21" s="61"/>
      <c r="C21" s="64"/>
      <c r="D21" s="12"/>
      <c r="E21" s="12"/>
      <c r="F21" s="12"/>
      <c r="G21" s="12"/>
      <c r="H21" s="12"/>
      <c r="I21" s="12"/>
      <c r="J21" s="12"/>
      <c r="K21" s="12"/>
      <c r="L21" s="12"/>
      <c r="M21" s="33"/>
      <c r="N21" s="20"/>
    </row>
    <row r="22" spans="2:16" ht="14.45" customHeight="1" thickBot="1">
      <c r="B22" s="61"/>
      <c r="C22" s="65"/>
      <c r="D22" s="21"/>
      <c r="E22" s="21"/>
      <c r="F22" s="21"/>
      <c r="G22" s="21"/>
      <c r="H22" s="21"/>
      <c r="I22" s="21"/>
      <c r="J22" s="21"/>
      <c r="K22" s="21"/>
      <c r="L22" s="21"/>
      <c r="M22" s="32"/>
      <c r="N22" s="28"/>
    </row>
    <row r="23" spans="2:16" ht="14.45" customHeight="1">
      <c r="B23" s="51"/>
      <c r="C23" s="7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20"/>
    </row>
    <row r="24" spans="2:16" ht="14.45" customHeight="1">
      <c r="B24" s="52"/>
      <c r="C24" s="75"/>
      <c r="D24" s="12"/>
      <c r="E24" s="12"/>
      <c r="F24" s="12"/>
      <c r="G24" s="12"/>
      <c r="H24" s="12"/>
      <c r="I24" s="12"/>
      <c r="J24" s="12"/>
      <c r="K24" s="12"/>
      <c r="L24" s="12"/>
      <c r="M24" s="33"/>
      <c r="N24" s="20"/>
    </row>
    <row r="25" spans="2:16" ht="14.45" customHeight="1">
      <c r="B25" s="52"/>
      <c r="C25" s="75"/>
      <c r="D25" s="12"/>
      <c r="E25" s="12"/>
      <c r="F25" s="12"/>
      <c r="G25" s="12"/>
      <c r="H25" s="12"/>
      <c r="I25" s="12"/>
      <c r="J25" s="12"/>
      <c r="K25" s="12"/>
      <c r="L25" s="12"/>
      <c r="M25" s="33"/>
      <c r="N25" s="20"/>
    </row>
    <row r="26" spans="2:16" ht="14.45" customHeight="1">
      <c r="B26" s="52"/>
      <c r="C26" s="75"/>
      <c r="D26" s="12"/>
      <c r="E26" s="12"/>
      <c r="F26" s="12"/>
      <c r="G26" s="12"/>
      <c r="H26" s="12"/>
      <c r="I26" s="12"/>
      <c r="J26" s="12"/>
      <c r="K26" s="12"/>
      <c r="L26" s="12"/>
      <c r="M26" s="33"/>
      <c r="N26" s="20"/>
    </row>
    <row r="27" spans="2:16" ht="14.45" customHeight="1">
      <c r="B27" s="52"/>
      <c r="C27" s="75"/>
      <c r="D27" s="12"/>
      <c r="E27" s="12"/>
      <c r="F27" s="12"/>
      <c r="G27" s="12"/>
      <c r="H27" s="12"/>
      <c r="I27" s="12"/>
      <c r="J27" s="12"/>
      <c r="K27" s="12"/>
      <c r="L27" s="12"/>
      <c r="M27" s="33"/>
      <c r="N27" s="20"/>
    </row>
    <row r="28" spans="2:16" ht="14.45" customHeight="1">
      <c r="B28" s="61"/>
      <c r="C28" s="75"/>
      <c r="D28" s="3"/>
      <c r="E28" s="3"/>
      <c r="F28" s="3"/>
      <c r="G28" s="3"/>
      <c r="H28" s="3"/>
      <c r="I28" s="3"/>
      <c r="J28" s="3"/>
      <c r="K28" s="3"/>
      <c r="L28" s="12"/>
      <c r="M28" s="34"/>
      <c r="N28" s="20"/>
    </row>
    <row r="29" spans="2:16" ht="14.45" customHeight="1">
      <c r="B29" s="61"/>
      <c r="C29" s="75"/>
      <c r="D29" s="3"/>
      <c r="E29" s="3"/>
      <c r="F29" s="3"/>
      <c r="G29" s="3"/>
      <c r="H29" s="3"/>
      <c r="I29" s="3"/>
      <c r="J29" s="3"/>
      <c r="K29" s="3"/>
      <c r="L29" s="12"/>
      <c r="M29" s="34"/>
      <c r="N29" s="20"/>
    </row>
    <row r="30" spans="2:16" ht="14.45" customHeight="1">
      <c r="B30" s="61"/>
      <c r="C30" s="75"/>
      <c r="D30" s="3"/>
      <c r="E30" s="3"/>
      <c r="F30" s="3"/>
      <c r="G30" s="3"/>
      <c r="H30" s="3"/>
      <c r="I30" s="3"/>
      <c r="J30" s="3"/>
      <c r="K30" s="3"/>
      <c r="L30" s="12"/>
      <c r="M30" s="34"/>
      <c r="N30" s="20"/>
    </row>
    <row r="31" spans="2:16" ht="14.45" customHeight="1">
      <c r="B31" s="61"/>
      <c r="C31" s="75"/>
      <c r="D31" s="3"/>
      <c r="E31" s="3"/>
      <c r="F31" s="3"/>
      <c r="G31" s="3"/>
      <c r="H31" s="3"/>
      <c r="I31" s="3"/>
      <c r="J31" s="3"/>
      <c r="K31" s="3"/>
      <c r="L31" s="12"/>
      <c r="M31" s="34"/>
      <c r="N31" s="20"/>
    </row>
    <row r="32" spans="2:16" ht="14.45" customHeight="1">
      <c r="B32" s="61"/>
      <c r="C32" s="75"/>
      <c r="D32" s="3"/>
      <c r="E32" s="3"/>
      <c r="F32" s="3"/>
      <c r="G32" s="3"/>
      <c r="H32" s="3"/>
      <c r="I32" s="3"/>
      <c r="J32" s="3"/>
      <c r="K32" s="3"/>
      <c r="L32" s="3"/>
      <c r="M32" s="34"/>
      <c r="N32" s="20"/>
    </row>
    <row r="33" spans="2:15" ht="14.45" customHeight="1">
      <c r="B33" s="61"/>
      <c r="C33" s="75"/>
      <c r="D33" s="3"/>
      <c r="E33" s="3"/>
      <c r="F33" s="3"/>
      <c r="G33" s="3"/>
      <c r="H33" s="3"/>
      <c r="I33" s="3"/>
      <c r="J33" s="3"/>
      <c r="K33" s="3"/>
      <c r="L33" s="3"/>
      <c r="M33" s="34"/>
      <c r="N33" s="20"/>
    </row>
    <row r="34" spans="2:15" ht="14.45" customHeight="1">
      <c r="B34" s="61"/>
      <c r="C34" s="75"/>
      <c r="D34" s="3"/>
      <c r="E34" s="3"/>
      <c r="F34" s="3"/>
      <c r="G34" s="3"/>
      <c r="H34" s="3"/>
      <c r="I34" s="3"/>
      <c r="J34" s="3"/>
      <c r="K34" s="3"/>
      <c r="L34" s="3"/>
      <c r="M34" s="34"/>
      <c r="N34" s="20"/>
    </row>
    <row r="35" spans="2:15" ht="14.45" customHeight="1">
      <c r="B35" s="61"/>
      <c r="C35" s="75"/>
      <c r="D35" s="3"/>
      <c r="E35" s="3"/>
      <c r="F35" s="3"/>
      <c r="G35" s="3"/>
      <c r="H35" s="3"/>
      <c r="I35" s="3"/>
      <c r="J35" s="3"/>
      <c r="K35" s="3"/>
      <c r="L35" s="3"/>
      <c r="M35" s="34"/>
      <c r="N35" s="20"/>
    </row>
    <row r="36" spans="2:15" ht="14.45" customHeight="1">
      <c r="B36" s="61"/>
      <c r="C36" s="75"/>
      <c r="D36" s="3"/>
      <c r="E36" s="3"/>
      <c r="F36" s="3"/>
      <c r="G36" s="3"/>
      <c r="H36" s="3"/>
      <c r="I36" s="3"/>
      <c r="J36" s="3"/>
      <c r="K36" s="3"/>
      <c r="L36" s="3"/>
      <c r="M36" s="34"/>
      <c r="N36" s="20"/>
    </row>
    <row r="37" spans="2:15" ht="14.45" customHeight="1" thickBot="1">
      <c r="B37" s="62"/>
      <c r="C37" s="7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</row>
    <row r="38" spans="2:15" ht="14.45" customHeight="1">
      <c r="B38" s="51"/>
      <c r="C38" s="77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20"/>
      <c r="O38" s="30"/>
    </row>
    <row r="39" spans="2:15" ht="14.45" customHeight="1">
      <c r="B39" s="52"/>
      <c r="C39" s="78"/>
      <c r="D39" s="3"/>
      <c r="E39" s="3"/>
      <c r="F39" s="3"/>
      <c r="G39" s="3"/>
      <c r="H39" s="3"/>
      <c r="I39" s="3"/>
      <c r="J39" s="3"/>
      <c r="K39" s="3"/>
      <c r="L39" s="3"/>
      <c r="M39" s="3"/>
      <c r="N39" s="20"/>
    </row>
    <row r="40" spans="2:15" ht="14.45" customHeight="1">
      <c r="B40" s="52"/>
      <c r="C40" s="78"/>
      <c r="D40" s="3"/>
      <c r="E40" s="3"/>
      <c r="F40" s="3"/>
      <c r="G40" s="3"/>
      <c r="H40" s="3"/>
      <c r="I40" s="3"/>
      <c r="J40" s="3"/>
      <c r="K40" s="3"/>
      <c r="L40" s="3"/>
      <c r="M40" s="3"/>
      <c r="N40" s="20"/>
    </row>
    <row r="41" spans="2:15" ht="14.45" customHeight="1">
      <c r="B41" s="52"/>
      <c r="C41" s="78"/>
      <c r="D41" s="3"/>
      <c r="E41" s="3"/>
      <c r="F41" s="3"/>
      <c r="G41" s="3"/>
      <c r="H41" s="3"/>
      <c r="I41" s="3"/>
      <c r="J41" s="3"/>
      <c r="K41" s="3"/>
      <c r="L41" s="3"/>
      <c r="M41" s="3"/>
      <c r="N41" s="20"/>
    </row>
    <row r="42" spans="2:15" ht="14.45" customHeight="1">
      <c r="B42" s="52"/>
      <c r="C42" s="78"/>
      <c r="D42" s="3"/>
      <c r="E42" s="3"/>
      <c r="F42" s="3"/>
      <c r="G42" s="3"/>
      <c r="H42" s="3"/>
      <c r="I42" s="3"/>
      <c r="J42" s="3"/>
      <c r="K42" s="3"/>
      <c r="L42" s="3"/>
      <c r="M42" s="3"/>
      <c r="N42" s="20"/>
    </row>
    <row r="43" spans="2:15" ht="14.45" customHeight="1">
      <c r="B43" s="52"/>
      <c r="C43" s="78"/>
      <c r="D43" s="3"/>
      <c r="E43" s="3"/>
      <c r="F43" s="3"/>
      <c r="G43" s="3"/>
      <c r="H43" s="3"/>
      <c r="I43" s="3"/>
      <c r="J43" s="3"/>
      <c r="K43" s="3"/>
      <c r="L43" s="3"/>
      <c r="M43" s="3"/>
      <c r="N43" s="20"/>
    </row>
    <row r="44" spans="2:15" ht="14.45" customHeight="1">
      <c r="B44" s="52"/>
      <c r="C44" s="78"/>
      <c r="D44" s="3"/>
      <c r="E44" s="3"/>
      <c r="F44" s="3"/>
      <c r="G44" s="3"/>
      <c r="H44" s="3"/>
      <c r="I44" s="3"/>
      <c r="J44" s="3"/>
      <c r="K44" s="3"/>
      <c r="L44" s="3"/>
      <c r="M44" s="3"/>
      <c r="N44" s="20"/>
    </row>
    <row r="45" spans="2:15" ht="14.45" customHeight="1">
      <c r="B45" s="52"/>
      <c r="C45" s="78"/>
      <c r="D45" s="3"/>
      <c r="E45" s="3"/>
      <c r="F45" s="3"/>
      <c r="G45" s="3"/>
      <c r="H45" s="3"/>
      <c r="I45" s="3"/>
      <c r="J45" s="3"/>
      <c r="K45" s="3"/>
      <c r="L45" s="3"/>
      <c r="M45" s="3"/>
      <c r="N45" s="20"/>
    </row>
    <row r="46" spans="2:15" ht="14.45" customHeight="1">
      <c r="B46" s="52"/>
      <c r="C46" s="78"/>
      <c r="D46" s="3"/>
      <c r="E46" s="3"/>
      <c r="F46" s="3"/>
      <c r="G46" s="3"/>
      <c r="H46" s="3"/>
      <c r="I46" s="3"/>
      <c r="J46" s="3"/>
      <c r="K46" s="3"/>
      <c r="L46" s="3"/>
      <c r="M46" s="3"/>
      <c r="N46" s="20"/>
    </row>
    <row r="47" spans="2:15" ht="14.45" customHeight="1">
      <c r="B47" s="52"/>
      <c r="C47" s="78"/>
      <c r="D47" s="3"/>
      <c r="E47" s="3"/>
      <c r="F47" s="3"/>
      <c r="G47" s="3"/>
      <c r="H47" s="3"/>
      <c r="I47" s="3"/>
      <c r="J47" s="3"/>
      <c r="K47" s="3"/>
      <c r="L47" s="3"/>
      <c r="M47" s="3"/>
      <c r="N47" s="20"/>
    </row>
    <row r="48" spans="2:15" ht="14.45" customHeight="1">
      <c r="B48" s="52"/>
      <c r="C48" s="78"/>
      <c r="D48" s="3"/>
      <c r="E48" s="3"/>
      <c r="F48" s="3"/>
      <c r="G48" s="3"/>
      <c r="H48" s="3"/>
      <c r="I48" s="3"/>
      <c r="J48" s="3"/>
      <c r="K48" s="3"/>
      <c r="L48" s="3"/>
      <c r="M48" s="3"/>
      <c r="N48" s="11"/>
    </row>
    <row r="49" spans="2:15" ht="15" customHeight="1">
      <c r="B49" s="53"/>
      <c r="C49" s="79"/>
      <c r="D49" s="3"/>
      <c r="E49" s="3"/>
      <c r="F49" s="3"/>
      <c r="G49" s="3"/>
      <c r="H49" s="3"/>
      <c r="I49" s="3"/>
      <c r="J49" s="3"/>
      <c r="K49" s="3"/>
      <c r="L49" s="3"/>
      <c r="M49" s="3"/>
      <c r="N49" s="11"/>
    </row>
    <row r="50" spans="2:15" ht="14.45" customHeight="1">
      <c r="B50" s="51"/>
      <c r="C50" s="77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20"/>
      <c r="O50" s="30"/>
    </row>
    <row r="51" spans="2:15" ht="14.45" customHeight="1">
      <c r="B51" s="52"/>
      <c r="C51" s="78"/>
      <c r="D51" s="3"/>
      <c r="E51" s="3"/>
      <c r="F51" s="3"/>
      <c r="G51" s="3"/>
      <c r="H51" s="3"/>
      <c r="I51" s="3"/>
      <c r="J51" s="3"/>
      <c r="K51" s="3"/>
      <c r="L51" s="3"/>
      <c r="M51" s="3"/>
      <c r="N51" s="20"/>
    </row>
    <row r="52" spans="2:15" ht="14.45" customHeight="1">
      <c r="B52" s="52"/>
      <c r="C52" s="78"/>
      <c r="D52" s="3"/>
      <c r="E52" s="3"/>
      <c r="F52" s="3"/>
      <c r="G52" s="3"/>
      <c r="H52" s="3"/>
      <c r="I52" s="3"/>
      <c r="J52" s="3"/>
      <c r="K52" s="3"/>
      <c r="L52" s="3"/>
      <c r="M52" s="3"/>
      <c r="N52" s="20"/>
    </row>
    <row r="53" spans="2:15" ht="14.45" customHeight="1">
      <c r="B53" s="52"/>
      <c r="C53" s="78"/>
      <c r="D53" s="3"/>
      <c r="E53" s="3"/>
      <c r="F53" s="3"/>
      <c r="G53" s="3"/>
      <c r="H53" s="3"/>
      <c r="I53" s="3"/>
      <c r="J53" s="3"/>
      <c r="K53" s="3"/>
      <c r="L53" s="3"/>
      <c r="M53" s="3"/>
      <c r="N53" s="20"/>
    </row>
    <row r="54" spans="2:15" ht="15" customHeight="1">
      <c r="B54" s="53"/>
      <c r="C54" s="79"/>
      <c r="D54" s="3"/>
      <c r="E54" s="3"/>
      <c r="F54" s="3"/>
      <c r="G54" s="3"/>
      <c r="H54" s="3"/>
      <c r="I54" s="3"/>
      <c r="J54" s="3"/>
      <c r="K54" s="3"/>
      <c r="L54" s="3"/>
      <c r="M54" s="3"/>
      <c r="N54" s="11"/>
    </row>
    <row r="55" spans="2:15" ht="14.45" customHeight="1">
      <c r="B55" s="51"/>
      <c r="C55" s="77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20"/>
      <c r="O55" s="30"/>
    </row>
    <row r="56" spans="2:15" ht="14.45" customHeight="1">
      <c r="B56" s="52"/>
      <c r="C56" s="78"/>
      <c r="D56" s="3"/>
      <c r="E56" s="3"/>
      <c r="F56" s="3"/>
      <c r="G56" s="3"/>
      <c r="H56" s="3"/>
      <c r="I56" s="3"/>
      <c r="J56" s="3"/>
      <c r="K56" s="3"/>
      <c r="L56" s="3"/>
      <c r="M56" s="3"/>
      <c r="N56" s="20"/>
    </row>
    <row r="57" spans="2:15" ht="14.45" customHeight="1">
      <c r="B57" s="52"/>
      <c r="C57" s="78"/>
      <c r="D57" s="3"/>
      <c r="E57" s="3"/>
      <c r="F57" s="3"/>
      <c r="G57" s="3"/>
      <c r="H57" s="3"/>
      <c r="I57" s="3"/>
      <c r="J57" s="3"/>
      <c r="K57" s="3"/>
      <c r="L57" s="3"/>
      <c r="M57" s="3"/>
      <c r="N57" s="20"/>
    </row>
    <row r="58" spans="2:15" ht="14.45" customHeight="1">
      <c r="B58" s="52"/>
      <c r="C58" s="78"/>
      <c r="D58" s="3"/>
      <c r="E58" s="3"/>
      <c r="F58" s="3"/>
      <c r="G58" s="3"/>
      <c r="H58" s="3"/>
      <c r="I58" s="3"/>
      <c r="J58" s="3"/>
      <c r="K58" s="3"/>
      <c r="L58" s="3"/>
      <c r="M58" s="3"/>
      <c r="N58" s="20"/>
    </row>
    <row r="59" spans="2:15" ht="15" customHeight="1">
      <c r="B59" s="53"/>
      <c r="C59" s="79"/>
      <c r="D59" s="3"/>
      <c r="E59" s="3"/>
      <c r="F59" s="3"/>
      <c r="G59" s="3"/>
      <c r="H59" s="3"/>
      <c r="I59" s="3"/>
      <c r="J59" s="3"/>
      <c r="K59" s="3"/>
      <c r="L59" s="3"/>
      <c r="M59" s="3"/>
      <c r="N59" s="11"/>
    </row>
    <row r="60" spans="2:15" ht="14.45" customHeight="1">
      <c r="B60" s="51"/>
      <c r="C60" s="77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20"/>
      <c r="O60" s="30"/>
    </row>
    <row r="61" spans="2:15" ht="14.45" customHeight="1">
      <c r="B61" s="52"/>
      <c r="C61" s="78"/>
      <c r="D61" s="3"/>
      <c r="E61" s="3"/>
      <c r="F61" s="3"/>
      <c r="G61" s="3"/>
      <c r="H61" s="3"/>
      <c r="I61" s="3"/>
      <c r="J61" s="3"/>
      <c r="K61" s="3"/>
      <c r="L61" s="3"/>
      <c r="M61" s="3"/>
      <c r="N61" s="20"/>
    </row>
    <row r="62" spans="2:15" ht="14.45" customHeight="1">
      <c r="B62" s="52"/>
      <c r="C62" s="78"/>
      <c r="D62" s="3"/>
      <c r="E62" s="3"/>
      <c r="F62" s="3"/>
      <c r="G62" s="3"/>
      <c r="H62" s="3"/>
      <c r="I62" s="3"/>
      <c r="J62" s="3"/>
      <c r="K62" s="3"/>
      <c r="L62" s="3"/>
      <c r="M62" s="3"/>
      <c r="N62" s="20"/>
    </row>
    <row r="63" spans="2:15" ht="14.45" customHeight="1">
      <c r="B63" s="52"/>
      <c r="C63" s="78"/>
      <c r="D63" s="3"/>
      <c r="E63" s="3"/>
      <c r="F63" s="3"/>
      <c r="G63" s="3"/>
      <c r="H63" s="3"/>
      <c r="I63" s="3"/>
      <c r="J63" s="3"/>
      <c r="K63" s="3"/>
      <c r="L63" s="3"/>
      <c r="M63" s="3"/>
      <c r="N63" s="20"/>
    </row>
    <row r="64" spans="2:15" ht="15" customHeight="1">
      <c r="B64" s="53"/>
      <c r="C64" s="79"/>
      <c r="D64" s="3"/>
      <c r="E64" s="3"/>
      <c r="F64" s="3"/>
      <c r="G64" s="3"/>
      <c r="H64" s="3"/>
      <c r="I64" s="3"/>
      <c r="J64" s="3"/>
      <c r="K64" s="3"/>
      <c r="L64" s="3"/>
      <c r="M64" s="3"/>
      <c r="N64" s="11"/>
    </row>
    <row r="65" spans="2:14" ht="15" customHeight="1">
      <c r="B65" s="39"/>
      <c r="C65" s="41"/>
      <c r="N65" s="40"/>
    </row>
    <row r="68" spans="2:14">
      <c r="E68" s="22" t="s">
        <v>3</v>
      </c>
      <c r="F68" s="22" t="s">
        <v>4</v>
      </c>
      <c r="G68" s="22" t="s">
        <v>5</v>
      </c>
      <c r="H68" s="22" t="s">
        <v>6</v>
      </c>
      <c r="I68" s="22" t="s">
        <v>7</v>
      </c>
      <c r="J68" s="22" t="s">
        <v>8</v>
      </c>
      <c r="K68" s="22" t="s">
        <v>9</v>
      </c>
      <c r="L68" s="22" t="s">
        <v>10</v>
      </c>
      <c r="M68" s="22" t="s">
        <v>11</v>
      </c>
    </row>
    <row r="69" spans="2:14" ht="15" customHeight="1">
      <c r="B69" s="54"/>
      <c r="C69" s="57" t="s">
        <v>76</v>
      </c>
      <c r="D69" s="58"/>
      <c r="E69" s="15">
        <f>SUM(E5:E64)</f>
        <v>0</v>
      </c>
      <c r="F69" s="15">
        <f t="shared" ref="F69:L69" si="0">SUM(F5:F64)</f>
        <v>0</v>
      </c>
      <c r="G69" s="15">
        <f t="shared" si="0"/>
        <v>0</v>
      </c>
      <c r="H69" s="15">
        <f t="shared" si="0"/>
        <v>0</v>
      </c>
      <c r="I69" s="15">
        <f>SUM(I5:I64)</f>
        <v>0</v>
      </c>
      <c r="J69" s="15">
        <f t="shared" si="0"/>
        <v>0</v>
      </c>
      <c r="K69" s="15">
        <f t="shared" si="0"/>
        <v>0</v>
      </c>
      <c r="L69" s="15">
        <f t="shared" si="0"/>
        <v>0</v>
      </c>
      <c r="M69" s="15">
        <f>SUM(M5:M64)</f>
        <v>0</v>
      </c>
      <c r="N69" s="4">
        <v>0</v>
      </c>
    </row>
    <row r="70" spans="2:14" ht="15" customHeight="1">
      <c r="B70" s="55"/>
      <c r="C70" s="57" t="s">
        <v>77</v>
      </c>
      <c r="D70" s="58"/>
      <c r="E70" s="15">
        <f>$M$69/8</f>
        <v>0</v>
      </c>
      <c r="F70" s="15">
        <f t="shared" ref="F70:L70" si="1">$M$69/8</f>
        <v>0</v>
      </c>
      <c r="G70" s="15">
        <f t="shared" si="1"/>
        <v>0</v>
      </c>
      <c r="H70" s="15">
        <f t="shared" si="1"/>
        <v>0</v>
      </c>
      <c r="I70" s="15">
        <f t="shared" si="1"/>
        <v>0</v>
      </c>
      <c r="J70" s="15">
        <f t="shared" si="1"/>
        <v>0</v>
      </c>
      <c r="K70" s="15">
        <f t="shared" si="1"/>
        <v>0</v>
      </c>
      <c r="L70" s="15">
        <f t="shared" si="1"/>
        <v>0</v>
      </c>
      <c r="M70" s="13"/>
      <c r="N70" s="4">
        <v>0</v>
      </c>
    </row>
    <row r="71" spans="2:14" ht="15" customHeight="1">
      <c r="B71" s="55"/>
      <c r="C71" s="14"/>
      <c r="D71" s="15" t="s">
        <v>13</v>
      </c>
      <c r="E71" s="15"/>
      <c r="F71" s="15"/>
      <c r="G71" s="15"/>
      <c r="H71" s="15"/>
      <c r="I71" s="15"/>
      <c r="J71" s="15"/>
      <c r="K71" s="15"/>
      <c r="L71" s="15"/>
      <c r="M71" s="4"/>
      <c r="N71" s="11">
        <f>SUM(M71:M71)</f>
        <v>0</v>
      </c>
    </row>
    <row r="72" spans="2:14" ht="15" customHeight="1">
      <c r="B72" s="56"/>
      <c r="C72" s="59" t="s">
        <v>78</v>
      </c>
      <c r="D72" s="60"/>
      <c r="E72" s="31">
        <f>SUM(E69:E70)</f>
        <v>0</v>
      </c>
      <c r="F72" s="31">
        <f t="shared" ref="F72:L72" si="2">SUM(F69:F70)</f>
        <v>0</v>
      </c>
      <c r="G72" s="31">
        <f t="shared" si="2"/>
        <v>0</v>
      </c>
      <c r="H72" s="31">
        <f t="shared" si="2"/>
        <v>0</v>
      </c>
      <c r="I72" s="31">
        <f t="shared" si="2"/>
        <v>0</v>
      </c>
      <c r="J72" s="31">
        <f t="shared" si="2"/>
        <v>0</v>
      </c>
      <c r="K72" s="31">
        <f t="shared" si="2"/>
        <v>0</v>
      </c>
      <c r="L72" s="31">
        <f t="shared" si="2"/>
        <v>0</v>
      </c>
      <c r="M72" s="16"/>
      <c r="N72" s="16"/>
    </row>
    <row r="74" spans="2:14" ht="15.75" customHeight="1"/>
    <row r="75" spans="2:14" ht="15" customHeight="1"/>
  </sheetData>
  <mergeCells count="18">
    <mergeCell ref="B5:B18"/>
    <mergeCell ref="C5:C18"/>
    <mergeCell ref="B19:B22"/>
    <mergeCell ref="C19:C22"/>
    <mergeCell ref="B23:B37"/>
    <mergeCell ref="C23:C37"/>
    <mergeCell ref="B38:B49"/>
    <mergeCell ref="C38:C49"/>
    <mergeCell ref="B50:B54"/>
    <mergeCell ref="C50:C54"/>
    <mergeCell ref="B55:B59"/>
    <mergeCell ref="C55:C59"/>
    <mergeCell ref="B60:B64"/>
    <mergeCell ref="C60:C64"/>
    <mergeCell ref="B69:B72"/>
    <mergeCell ref="C69:D69"/>
    <mergeCell ref="C70:D70"/>
    <mergeCell ref="C72:D72"/>
  </mergeCells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D1B6-5A53-894F-A904-9709C0279AD5}">
  <dimension ref="A1"/>
  <sheetViews>
    <sheetView zoomScaleNormal="150" zoomScaleSheetLayoutView="100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90C0D9C338B4FB738AC730BA4197D" ma:contentTypeVersion="4" ma:contentTypeDescription="Create a new document." ma:contentTypeScope="" ma:versionID="4bbee3a8c01989faddcb1d0cd9d142fc">
  <xsd:schema xmlns:xsd="http://www.w3.org/2001/XMLSchema" xmlns:xs="http://www.w3.org/2001/XMLSchema" xmlns:p="http://schemas.microsoft.com/office/2006/metadata/properties" xmlns:ns2="3b41f78e-b3d8-44f6-8f8d-6ee1557b2a1b" targetNamespace="http://schemas.microsoft.com/office/2006/metadata/properties" ma:root="true" ma:fieldsID="ee8e0ffee7c2e6361895c49fa43fe5ce" ns2:_="">
    <xsd:import namespace="3b41f78e-b3d8-44f6-8f8d-6ee1557b2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1f78e-b3d8-44f6-8f8d-6ee1557b2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E2E6B-2D09-4171-91FD-0ED1C6E96B5E}"/>
</file>

<file path=customXml/itemProps2.xml><?xml version="1.0" encoding="utf-8"?>
<ds:datastoreItem xmlns:ds="http://schemas.openxmlformats.org/officeDocument/2006/customXml" ds:itemID="{C6CEA322-87DE-4516-8F43-3066BE4B9882}"/>
</file>

<file path=customXml/itemProps3.xml><?xml version="1.0" encoding="utf-8"?>
<ds:datastoreItem xmlns:ds="http://schemas.openxmlformats.org/officeDocument/2006/customXml" ds:itemID="{22E76C9B-24FF-495B-AC2F-46C8E07BF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PT. Gudang Garam Tbk.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Hengky Wiriawan</dc:creator>
  <cp:keywords/>
  <dc:description/>
  <cp:lastModifiedBy/>
  <cp:revision/>
  <dcterms:created xsi:type="dcterms:W3CDTF">2024-06-03T06:21:11Z</dcterms:created>
  <dcterms:modified xsi:type="dcterms:W3CDTF">2026-06-22T08:06:50Z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0x0101009D690C0D9C338B4FB738AC730BA4197D</vt:lpwstr>
  </property>
</Properties>
</file>